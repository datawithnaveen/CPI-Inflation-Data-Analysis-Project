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My Project\"/>
    </mc:Choice>
  </mc:AlternateContent>
  <xr:revisionPtr revIDLastSave="0" documentId="13_ncr:1_{0E287430-4EA4-4A3E-9E54-BA79881AA87E}" xr6:coauthVersionLast="47" xr6:coauthVersionMax="47" xr10:uidLastSave="{00000000-0000-0000-0000-000000000000}"/>
  <bookViews>
    <workbookView xWindow="28680" yWindow="-120" windowWidth="29040" windowHeight="15720" activeTab="8" xr2:uid="{ED90904F-C97E-4056-B43C-87E551EAF0AC}"/>
  </bookViews>
  <sheets>
    <sheet name="MAIN DATA " sheetId="1" r:id="rId1"/>
    <sheet name="EXP" sheetId="3" r:id="rId2"/>
    <sheet name="Q1" sheetId="2" r:id="rId3"/>
    <sheet name="Q2 I" sheetId="5" r:id="rId4"/>
    <sheet name="Q2 II" sheetId="6" r:id="rId5"/>
    <sheet name="Q3 I" sheetId="7" r:id="rId6"/>
    <sheet name="Q3 II" sheetId="8" r:id="rId7"/>
    <sheet name="Q4" sheetId="9" r:id="rId8"/>
    <sheet name="Q5 " sheetId="10" r:id="rId9"/>
    <sheet name="Conclusion" sheetId="11" r:id="rId10"/>
  </sheets>
  <definedNames>
    <definedName name="_xlnm._FilterDatabase" localSheetId="1" hidden="1">EXP!$A$1:$AL$373</definedName>
  </definedNames>
  <calcPr calcId="191029"/>
  <pivotCaches>
    <pivotCache cacheId="23" r:id="rId11"/>
    <pivotCache cacheId="24" r:id="rId12"/>
    <pivotCache cacheId="25" r:id="rId13"/>
    <pivotCache cacheId="26" r:id="rId14"/>
    <pivotCache cacheId="27" r:id="rId15"/>
    <pivotCache cacheId="28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8" l="1"/>
  <c r="B14" i="2" a="1"/>
  <c r="B14" i="2" s="1"/>
  <c r="B19" i="2" a="1"/>
  <c r="B19" i="2" s="1"/>
  <c r="L34" i="10"/>
  <c r="N34" i="10"/>
  <c r="P34" i="10"/>
  <c r="R34" i="10"/>
  <c r="T34" i="10"/>
  <c r="V34" i="10"/>
  <c r="X34" i="10"/>
  <c r="Z34" i="10"/>
  <c r="AB34" i="10"/>
  <c r="AD34" i="10"/>
  <c r="AF34" i="10"/>
  <c r="AH34" i="10"/>
  <c r="AJ34" i="10"/>
  <c r="AL34" i="10"/>
  <c r="AN34" i="10"/>
  <c r="AP34" i="10"/>
  <c r="AR34" i="10"/>
  <c r="AT34" i="10"/>
  <c r="AV34" i="10"/>
  <c r="AX34" i="10"/>
  <c r="AZ34" i="10"/>
  <c r="BB34" i="10"/>
  <c r="BD34" i="10"/>
  <c r="J34" i="10"/>
  <c r="BD7" i="10"/>
  <c r="BD8" i="10"/>
  <c r="BD9" i="10"/>
  <c r="BD10" i="10"/>
  <c r="BD11" i="10"/>
  <c r="BD12" i="10"/>
  <c r="BD13" i="10"/>
  <c r="BD14" i="10"/>
  <c r="BD15" i="10"/>
  <c r="BD16" i="10"/>
  <c r="BD17" i="10"/>
  <c r="BD18" i="10"/>
  <c r="BD19" i="10"/>
  <c r="BD20" i="10"/>
  <c r="BD21" i="10"/>
  <c r="BD22" i="10"/>
  <c r="BD23" i="10"/>
  <c r="BD24" i="10"/>
  <c r="BD25" i="10"/>
  <c r="BD26" i="10"/>
  <c r="BD27" i="10"/>
  <c r="BD28" i="10"/>
  <c r="BD29" i="10"/>
  <c r="BD30" i="10"/>
  <c r="BD31" i="10"/>
  <c r="BD32" i="10"/>
  <c r="BD33" i="10"/>
  <c r="BD6" i="10"/>
  <c r="BB7" i="10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2" i="10"/>
  <c r="BB23" i="10"/>
  <c r="BB24" i="10"/>
  <c r="BB25" i="10"/>
  <c r="BB26" i="10"/>
  <c r="BB27" i="10"/>
  <c r="BB28" i="10"/>
  <c r="BB29" i="10"/>
  <c r="BB30" i="10"/>
  <c r="BB31" i="10"/>
  <c r="BB32" i="10"/>
  <c r="BB33" i="10"/>
  <c r="BB6" i="10"/>
  <c r="AZ7" i="10"/>
  <c r="AZ8" i="10"/>
  <c r="AZ9" i="10"/>
  <c r="AZ10" i="10"/>
  <c r="AZ11" i="10"/>
  <c r="AZ12" i="10"/>
  <c r="AZ13" i="10"/>
  <c r="AZ14" i="10"/>
  <c r="AZ15" i="10"/>
  <c r="AZ16" i="10"/>
  <c r="AZ17" i="10"/>
  <c r="AZ18" i="10"/>
  <c r="AZ19" i="10"/>
  <c r="AZ20" i="10"/>
  <c r="AZ21" i="10"/>
  <c r="AZ22" i="10"/>
  <c r="AZ23" i="10"/>
  <c r="AZ24" i="10"/>
  <c r="AZ25" i="10"/>
  <c r="AZ26" i="10"/>
  <c r="AZ27" i="10"/>
  <c r="AZ28" i="10"/>
  <c r="AZ29" i="10"/>
  <c r="AZ30" i="10"/>
  <c r="AZ31" i="10"/>
  <c r="AZ32" i="10"/>
  <c r="AZ33" i="10"/>
  <c r="AZ6" i="10"/>
  <c r="AX7" i="10"/>
  <c r="AX8" i="10"/>
  <c r="AX9" i="10"/>
  <c r="AX10" i="10"/>
  <c r="AX11" i="10"/>
  <c r="AX12" i="10"/>
  <c r="AX13" i="10"/>
  <c r="AX14" i="10"/>
  <c r="AX15" i="10"/>
  <c r="AX16" i="10"/>
  <c r="AX17" i="10"/>
  <c r="AX18" i="10"/>
  <c r="AX19" i="10"/>
  <c r="AX20" i="10"/>
  <c r="AX21" i="10"/>
  <c r="AX22" i="10"/>
  <c r="AX23" i="10"/>
  <c r="AX24" i="10"/>
  <c r="AX25" i="10"/>
  <c r="AX26" i="10"/>
  <c r="AX27" i="10"/>
  <c r="AX28" i="10"/>
  <c r="AX29" i="10"/>
  <c r="AX30" i="10"/>
  <c r="AX31" i="10"/>
  <c r="AX32" i="10"/>
  <c r="AX33" i="10"/>
  <c r="AX6" i="10"/>
  <c r="AV7" i="10"/>
  <c r="AV8" i="10"/>
  <c r="AV9" i="10"/>
  <c r="AV10" i="10"/>
  <c r="AV11" i="10"/>
  <c r="AV12" i="10"/>
  <c r="AV13" i="10"/>
  <c r="AV14" i="10"/>
  <c r="AV15" i="10"/>
  <c r="AV16" i="10"/>
  <c r="AV17" i="10"/>
  <c r="AV18" i="10"/>
  <c r="AV19" i="10"/>
  <c r="AV20" i="10"/>
  <c r="AV21" i="10"/>
  <c r="AV22" i="10"/>
  <c r="AV23" i="10"/>
  <c r="AV24" i="10"/>
  <c r="AV25" i="10"/>
  <c r="AV26" i="10"/>
  <c r="AV27" i="10"/>
  <c r="AV28" i="10"/>
  <c r="AV29" i="10"/>
  <c r="AV30" i="10"/>
  <c r="AV31" i="10"/>
  <c r="AV32" i="10"/>
  <c r="AV33" i="10"/>
  <c r="AV6" i="10"/>
  <c r="AT7" i="10"/>
  <c r="AT8" i="10"/>
  <c r="AT9" i="10"/>
  <c r="AT10" i="10"/>
  <c r="AT11" i="10"/>
  <c r="AT12" i="10"/>
  <c r="AT13" i="10"/>
  <c r="AT14" i="10"/>
  <c r="AT15" i="10"/>
  <c r="AT16" i="10"/>
  <c r="AT17" i="10"/>
  <c r="AT18" i="10"/>
  <c r="AT19" i="10"/>
  <c r="AT20" i="10"/>
  <c r="AT21" i="10"/>
  <c r="AT22" i="10"/>
  <c r="AT23" i="10"/>
  <c r="AT24" i="10"/>
  <c r="AT25" i="10"/>
  <c r="AT26" i="10"/>
  <c r="AT27" i="10"/>
  <c r="AT28" i="10"/>
  <c r="AT29" i="10"/>
  <c r="AT30" i="10"/>
  <c r="AT31" i="10"/>
  <c r="AT32" i="10"/>
  <c r="AT33" i="10"/>
  <c r="AT6" i="10"/>
  <c r="AR7" i="10"/>
  <c r="AR8" i="10"/>
  <c r="AR9" i="10"/>
  <c r="AR10" i="10"/>
  <c r="AR11" i="10"/>
  <c r="AR12" i="10"/>
  <c r="AR13" i="10"/>
  <c r="AR14" i="10"/>
  <c r="AR15" i="10"/>
  <c r="AR16" i="10"/>
  <c r="AR17" i="10"/>
  <c r="AR18" i="10"/>
  <c r="AR19" i="10"/>
  <c r="AR20" i="10"/>
  <c r="AR21" i="10"/>
  <c r="AR22" i="10"/>
  <c r="AR23" i="10"/>
  <c r="AR24" i="10"/>
  <c r="AR25" i="10"/>
  <c r="AR26" i="10"/>
  <c r="AR27" i="10"/>
  <c r="AR28" i="10"/>
  <c r="AR29" i="10"/>
  <c r="AR30" i="10"/>
  <c r="AR31" i="10"/>
  <c r="AR32" i="10"/>
  <c r="AR33" i="10"/>
  <c r="AR6" i="10"/>
  <c r="AP7" i="10"/>
  <c r="AP8" i="10"/>
  <c r="AP9" i="10"/>
  <c r="AP10" i="10"/>
  <c r="AP11" i="10"/>
  <c r="AP12" i="10"/>
  <c r="AP13" i="10"/>
  <c r="AP14" i="10"/>
  <c r="AP15" i="10"/>
  <c r="AP16" i="10"/>
  <c r="AP17" i="10"/>
  <c r="AP18" i="10"/>
  <c r="AP19" i="10"/>
  <c r="AP20" i="10"/>
  <c r="AP21" i="10"/>
  <c r="AP22" i="10"/>
  <c r="AP23" i="10"/>
  <c r="AP24" i="10"/>
  <c r="AP25" i="10"/>
  <c r="AP26" i="10"/>
  <c r="AP27" i="10"/>
  <c r="AP28" i="10"/>
  <c r="AP29" i="10"/>
  <c r="AP30" i="10"/>
  <c r="AP31" i="10"/>
  <c r="AP32" i="10"/>
  <c r="AP33" i="10"/>
  <c r="AP6" i="10"/>
  <c r="AN7" i="10"/>
  <c r="AN8" i="10"/>
  <c r="AN9" i="10"/>
  <c r="AN10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6" i="10"/>
  <c r="AL7" i="10"/>
  <c r="AL8" i="10"/>
  <c r="AL9" i="10"/>
  <c r="AL10" i="10"/>
  <c r="AL11" i="10"/>
  <c r="AL12" i="10"/>
  <c r="AL13" i="10"/>
  <c r="AL14" i="10"/>
  <c r="AL15" i="10"/>
  <c r="AL16" i="10"/>
  <c r="AL17" i="10"/>
  <c r="AL18" i="10"/>
  <c r="AL19" i="10"/>
  <c r="AL20" i="10"/>
  <c r="AL21" i="10"/>
  <c r="AL22" i="10"/>
  <c r="AL23" i="10"/>
  <c r="AL24" i="10"/>
  <c r="AL25" i="10"/>
  <c r="AL26" i="10"/>
  <c r="AL27" i="10"/>
  <c r="AL28" i="10"/>
  <c r="AL29" i="10"/>
  <c r="AL30" i="10"/>
  <c r="AL31" i="10"/>
  <c r="AL32" i="10"/>
  <c r="AL33" i="10"/>
  <c r="AL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6" i="10"/>
  <c r="E40" i="9" l="1"/>
  <c r="E39" i="9"/>
  <c r="E38" i="9"/>
  <c r="E37" i="9"/>
  <c r="E36" i="9"/>
  <c r="E35" i="9"/>
  <c r="E27" i="9"/>
  <c r="E26" i="9"/>
  <c r="E25" i="9"/>
  <c r="E24" i="9"/>
  <c r="E23" i="9"/>
  <c r="E22" i="9"/>
  <c r="E14" i="9" l="1"/>
  <c r="E13" i="9"/>
  <c r="E12" i="9"/>
  <c r="E11" i="9"/>
  <c r="E10" i="9"/>
  <c r="E9" i="9"/>
  <c r="B8" i="8" a="1"/>
  <c r="B8" i="8" s="1"/>
  <c r="C8" i="8" a="1"/>
  <c r="C8" i="8" s="1"/>
  <c r="B9" i="8" a="1"/>
  <c r="B9" i="8" s="1"/>
  <c r="C9" i="8" a="1"/>
  <c r="C9" i="8" s="1"/>
  <c r="B10" i="8" a="1"/>
  <c r="B10" i="8" s="1"/>
  <c r="C10" i="8" a="1"/>
  <c r="C10" i="8" s="1"/>
  <c r="B11" i="8" a="1"/>
  <c r="B11" i="8" s="1"/>
  <c r="C11" i="8" a="1"/>
  <c r="C11" i="8" s="1"/>
  <c r="B12" i="8" a="1"/>
  <c r="B12" i="8" s="1"/>
  <c r="C12" i="8" a="1"/>
  <c r="C12" i="8" s="1"/>
  <c r="B13" i="8" a="1"/>
  <c r="B13" i="8" s="1"/>
  <c r="C13" i="8" a="1"/>
  <c r="C13" i="8" s="1"/>
  <c r="B14" i="8" a="1"/>
  <c r="B14" i="8" s="1"/>
  <c r="C14" i="8" a="1"/>
  <c r="C14" i="8" s="1"/>
  <c r="B15" i="8" a="1"/>
  <c r="B15" i="8" s="1"/>
  <c r="C15" i="8" a="1"/>
  <c r="C15" i="8" s="1"/>
  <c r="B16" i="8" a="1"/>
  <c r="B16" i="8" s="1"/>
  <c r="C16" i="8" a="1"/>
  <c r="C16" i="8" s="1"/>
  <c r="B17" i="8" a="1"/>
  <c r="B17" i="8" s="1"/>
  <c r="C17" i="8" a="1"/>
  <c r="C17" i="8" s="1"/>
  <c r="D17" i="8" s="1"/>
  <c r="B18" i="8" a="1"/>
  <c r="B18" i="8" s="1"/>
  <c r="C18" i="8" a="1"/>
  <c r="C18" i="8" s="1"/>
  <c r="C7" i="8" a="1"/>
  <c r="C7" i="8" s="1"/>
  <c r="B7" i="8" a="1"/>
  <c r="B7" i="8" s="1"/>
  <c r="D15" i="8" l="1"/>
  <c r="D13" i="8"/>
  <c r="D7" i="8"/>
  <c r="D18" i="8"/>
  <c r="D12" i="8"/>
  <c r="D11" i="8"/>
  <c r="D10" i="8"/>
  <c r="D8" i="8"/>
  <c r="D16" i="8"/>
  <c r="D14" i="8"/>
  <c r="D7" i="7" l="1" a="1"/>
  <c r="D7" i="7" s="1"/>
  <c r="E7" i="7" a="1"/>
  <c r="E7" i="7" s="1"/>
  <c r="F7" i="7" a="1"/>
  <c r="F7" i="7" s="1"/>
  <c r="G7" i="7" a="1"/>
  <c r="G7" i="7" s="1"/>
  <c r="H7" i="7" a="1"/>
  <c r="H7" i="7" s="1"/>
  <c r="I7" i="7" a="1"/>
  <c r="I7" i="7" s="1"/>
  <c r="J7" i="7" a="1"/>
  <c r="J7" i="7" s="1"/>
  <c r="K7" i="7" a="1"/>
  <c r="K7" i="7" s="1"/>
  <c r="L7" i="7" a="1"/>
  <c r="L7" i="7" s="1"/>
  <c r="M7" i="7" a="1"/>
  <c r="M7" i="7" s="1"/>
  <c r="N7" i="7" a="1"/>
  <c r="N7" i="7" s="1"/>
  <c r="O7" i="7" a="1"/>
  <c r="O7" i="7" s="1"/>
  <c r="P7" i="7" a="1"/>
  <c r="P7" i="7" s="1"/>
  <c r="D8" i="7" a="1"/>
  <c r="D8" i="7" s="1"/>
  <c r="E8" i="7" a="1"/>
  <c r="E8" i="7" s="1"/>
  <c r="F8" i="7" a="1"/>
  <c r="F8" i="7" s="1"/>
  <c r="G8" i="7" a="1"/>
  <c r="G8" i="7" s="1"/>
  <c r="H8" i="7" a="1"/>
  <c r="H8" i="7" s="1"/>
  <c r="I8" i="7" a="1"/>
  <c r="I8" i="7" s="1"/>
  <c r="J8" i="7" a="1"/>
  <c r="J8" i="7" s="1"/>
  <c r="K8" i="7" a="1"/>
  <c r="K8" i="7" s="1"/>
  <c r="L8" i="7" a="1"/>
  <c r="L8" i="7" s="1"/>
  <c r="M8" i="7" a="1"/>
  <c r="M8" i="7" s="1"/>
  <c r="N8" i="7" a="1"/>
  <c r="N8" i="7" s="1"/>
  <c r="O8" i="7" a="1"/>
  <c r="O8" i="7" s="1"/>
  <c r="P8" i="7" a="1"/>
  <c r="P8" i="7" s="1"/>
  <c r="D9" i="7" a="1"/>
  <c r="D9" i="7" s="1"/>
  <c r="E9" i="7" a="1"/>
  <c r="E9" i="7" s="1"/>
  <c r="F9" i="7" a="1"/>
  <c r="F9" i="7" s="1"/>
  <c r="G9" i="7" a="1"/>
  <c r="G9" i="7" s="1"/>
  <c r="H9" i="7" a="1"/>
  <c r="H9" i="7" s="1"/>
  <c r="I9" i="7" a="1"/>
  <c r="I9" i="7" s="1"/>
  <c r="J9" i="7" a="1"/>
  <c r="J9" i="7" s="1"/>
  <c r="K9" i="7" a="1"/>
  <c r="K9" i="7" s="1"/>
  <c r="L9" i="7" a="1"/>
  <c r="L9" i="7" s="1"/>
  <c r="M9" i="7" a="1"/>
  <c r="M9" i="7" s="1"/>
  <c r="N9" i="7" a="1"/>
  <c r="N9" i="7" s="1"/>
  <c r="O9" i="7" a="1"/>
  <c r="O9" i="7" s="1"/>
  <c r="P9" i="7" a="1"/>
  <c r="P9" i="7" s="1"/>
  <c r="D10" i="7" a="1"/>
  <c r="D10" i="7" s="1"/>
  <c r="E10" i="7" a="1"/>
  <c r="E10" i="7" s="1"/>
  <c r="F10" i="7" a="1"/>
  <c r="F10" i="7" s="1"/>
  <c r="G10" i="7" a="1"/>
  <c r="G10" i="7" s="1"/>
  <c r="H10" i="7" a="1"/>
  <c r="H10" i="7" s="1"/>
  <c r="I10" i="7" a="1"/>
  <c r="I10" i="7" s="1"/>
  <c r="J10" i="7" a="1"/>
  <c r="J10" i="7" s="1"/>
  <c r="K10" i="7" a="1"/>
  <c r="K10" i="7" s="1"/>
  <c r="L10" i="7" a="1"/>
  <c r="L10" i="7" s="1"/>
  <c r="M10" i="7" a="1"/>
  <c r="M10" i="7" s="1"/>
  <c r="N10" i="7" a="1"/>
  <c r="N10" i="7" s="1"/>
  <c r="O10" i="7" a="1"/>
  <c r="O10" i="7" s="1"/>
  <c r="P10" i="7" a="1"/>
  <c r="P10" i="7" s="1"/>
  <c r="D11" i="7" a="1"/>
  <c r="D11" i="7" s="1"/>
  <c r="E11" i="7" a="1"/>
  <c r="E11" i="7" s="1"/>
  <c r="F11" i="7" a="1"/>
  <c r="F11" i="7" s="1"/>
  <c r="G11" i="7" a="1"/>
  <c r="G11" i="7" s="1"/>
  <c r="H11" i="7" a="1"/>
  <c r="H11" i="7" s="1"/>
  <c r="I11" i="7" a="1"/>
  <c r="I11" i="7" s="1"/>
  <c r="J11" i="7" a="1"/>
  <c r="J11" i="7" s="1"/>
  <c r="K11" i="7" a="1"/>
  <c r="K11" i="7" s="1"/>
  <c r="L11" i="7" a="1"/>
  <c r="L11" i="7" s="1"/>
  <c r="M11" i="7" a="1"/>
  <c r="M11" i="7" s="1"/>
  <c r="N11" i="7" a="1"/>
  <c r="N11" i="7" s="1"/>
  <c r="O11" i="7" a="1"/>
  <c r="O11" i="7" s="1"/>
  <c r="P11" i="7" a="1"/>
  <c r="P11" i="7" s="1"/>
  <c r="D12" i="7" a="1"/>
  <c r="D12" i="7" s="1"/>
  <c r="E12" i="7" a="1"/>
  <c r="E12" i="7" s="1"/>
  <c r="F12" i="7" a="1"/>
  <c r="F12" i="7" s="1"/>
  <c r="G12" i="7" a="1"/>
  <c r="G12" i="7" s="1"/>
  <c r="H12" i="7" a="1"/>
  <c r="H12" i="7" s="1"/>
  <c r="I12" i="7" a="1"/>
  <c r="I12" i="7" s="1"/>
  <c r="J12" i="7" a="1"/>
  <c r="J12" i="7" s="1"/>
  <c r="K12" i="7" a="1"/>
  <c r="K12" i="7" s="1"/>
  <c r="L12" i="7" a="1"/>
  <c r="L12" i="7" s="1"/>
  <c r="M12" i="7" a="1"/>
  <c r="M12" i="7" s="1"/>
  <c r="N12" i="7" a="1"/>
  <c r="N12" i="7" s="1"/>
  <c r="O12" i="7" a="1"/>
  <c r="O12" i="7" s="1"/>
  <c r="P12" i="7" a="1"/>
  <c r="P12" i="7" s="1"/>
  <c r="D13" i="7" a="1"/>
  <c r="D13" i="7" s="1"/>
  <c r="E13" i="7" a="1"/>
  <c r="E13" i="7" s="1"/>
  <c r="F13" i="7" a="1"/>
  <c r="F13" i="7" s="1"/>
  <c r="G13" i="7" a="1"/>
  <c r="G13" i="7" s="1"/>
  <c r="H13" i="7" a="1"/>
  <c r="H13" i="7" s="1"/>
  <c r="I13" i="7" a="1"/>
  <c r="I13" i="7" s="1"/>
  <c r="J13" i="7" a="1"/>
  <c r="J13" i="7" s="1"/>
  <c r="K13" i="7" a="1"/>
  <c r="K13" i="7" s="1"/>
  <c r="L13" i="7" a="1"/>
  <c r="L13" i="7" s="1"/>
  <c r="M13" i="7" a="1"/>
  <c r="M13" i="7" s="1"/>
  <c r="N13" i="7" a="1"/>
  <c r="N13" i="7" s="1"/>
  <c r="O13" i="7" a="1"/>
  <c r="O13" i="7" s="1"/>
  <c r="P13" i="7" a="1"/>
  <c r="P13" i="7" s="1"/>
  <c r="D14" i="7" a="1"/>
  <c r="D14" i="7" s="1"/>
  <c r="E14" i="7" a="1"/>
  <c r="E14" i="7" s="1"/>
  <c r="F14" i="7" a="1"/>
  <c r="F14" i="7" s="1"/>
  <c r="G14" i="7" a="1"/>
  <c r="G14" i="7" s="1"/>
  <c r="H14" i="7" a="1"/>
  <c r="H14" i="7" s="1"/>
  <c r="I14" i="7" a="1"/>
  <c r="I14" i="7" s="1"/>
  <c r="J14" i="7" a="1"/>
  <c r="J14" i="7" s="1"/>
  <c r="K14" i="7" a="1"/>
  <c r="K14" i="7" s="1"/>
  <c r="L14" i="7" a="1"/>
  <c r="L14" i="7" s="1"/>
  <c r="M14" i="7" a="1"/>
  <c r="M14" i="7" s="1"/>
  <c r="N14" i="7" a="1"/>
  <c r="N14" i="7" s="1"/>
  <c r="O14" i="7" a="1"/>
  <c r="O14" i="7" s="1"/>
  <c r="P14" i="7" a="1"/>
  <c r="P14" i="7" s="1"/>
  <c r="D15" i="7" a="1"/>
  <c r="D15" i="7" s="1"/>
  <c r="E15" i="7" a="1"/>
  <c r="E15" i="7" s="1"/>
  <c r="F15" i="7" a="1"/>
  <c r="F15" i="7" s="1"/>
  <c r="G15" i="7" a="1"/>
  <c r="G15" i="7" s="1"/>
  <c r="H15" i="7" a="1"/>
  <c r="H15" i="7" s="1"/>
  <c r="I15" i="7" a="1"/>
  <c r="I15" i="7" s="1"/>
  <c r="J15" i="7" a="1"/>
  <c r="J15" i="7" s="1"/>
  <c r="K15" i="7" a="1"/>
  <c r="K15" i="7" s="1"/>
  <c r="L15" i="7" a="1"/>
  <c r="L15" i="7" s="1"/>
  <c r="M15" i="7" a="1"/>
  <c r="M15" i="7" s="1"/>
  <c r="N15" i="7" a="1"/>
  <c r="N15" i="7" s="1"/>
  <c r="O15" i="7" a="1"/>
  <c r="O15" i="7" s="1"/>
  <c r="P15" i="7" a="1"/>
  <c r="P15" i="7" s="1"/>
  <c r="D16" i="7" a="1"/>
  <c r="D16" i="7" s="1"/>
  <c r="E16" i="7" a="1"/>
  <c r="E16" i="7" s="1"/>
  <c r="F16" i="7" a="1"/>
  <c r="F16" i="7" s="1"/>
  <c r="G16" i="7" a="1"/>
  <c r="G16" i="7" s="1"/>
  <c r="H16" i="7" a="1"/>
  <c r="H16" i="7" s="1"/>
  <c r="I16" i="7" a="1"/>
  <c r="I16" i="7" s="1"/>
  <c r="J16" i="7" a="1"/>
  <c r="J16" i="7" s="1"/>
  <c r="K16" i="7" a="1"/>
  <c r="K16" i="7" s="1"/>
  <c r="L16" i="7" a="1"/>
  <c r="L16" i="7" s="1"/>
  <c r="M16" i="7" a="1"/>
  <c r="M16" i="7" s="1"/>
  <c r="N16" i="7" a="1"/>
  <c r="N16" i="7" s="1"/>
  <c r="O16" i="7" a="1"/>
  <c r="O16" i="7" s="1"/>
  <c r="P16" i="7" a="1"/>
  <c r="P16" i="7" s="1"/>
  <c r="D17" i="7" a="1"/>
  <c r="D17" i="7" s="1"/>
  <c r="E17" i="7" a="1"/>
  <c r="E17" i="7" s="1"/>
  <c r="F17" i="7" a="1"/>
  <c r="F17" i="7" s="1"/>
  <c r="G17" i="7" a="1"/>
  <c r="G17" i="7" s="1"/>
  <c r="H17" i="7" a="1"/>
  <c r="H17" i="7" s="1"/>
  <c r="I17" i="7" a="1"/>
  <c r="I17" i="7" s="1"/>
  <c r="J17" i="7" a="1"/>
  <c r="J17" i="7" s="1"/>
  <c r="K17" i="7" a="1"/>
  <c r="K17" i="7" s="1"/>
  <c r="L17" i="7" a="1"/>
  <c r="L17" i="7" s="1"/>
  <c r="M17" i="7" a="1"/>
  <c r="M17" i="7" s="1"/>
  <c r="N17" i="7" a="1"/>
  <c r="N17" i="7" s="1"/>
  <c r="O17" i="7" a="1"/>
  <c r="O17" i="7" s="1"/>
  <c r="P17" i="7" a="1"/>
  <c r="P17" i="7" s="1"/>
  <c r="D18" i="7" a="1"/>
  <c r="D18" i="7" s="1"/>
  <c r="E18" i="7" a="1"/>
  <c r="E18" i="7" s="1"/>
  <c r="F18" i="7" a="1"/>
  <c r="F18" i="7" s="1"/>
  <c r="G18" i="7" a="1"/>
  <c r="G18" i="7" s="1"/>
  <c r="H18" i="7" a="1"/>
  <c r="H18" i="7" s="1"/>
  <c r="I18" i="7" a="1"/>
  <c r="I18" i="7" s="1"/>
  <c r="J18" i="7" a="1"/>
  <c r="J18" i="7" s="1"/>
  <c r="K18" i="7" a="1"/>
  <c r="K18" i="7" s="1"/>
  <c r="L18" i="7" a="1"/>
  <c r="L18" i="7" s="1"/>
  <c r="M18" i="7" a="1"/>
  <c r="M18" i="7" s="1"/>
  <c r="N18" i="7" a="1"/>
  <c r="N18" i="7" s="1"/>
  <c r="O18" i="7" a="1"/>
  <c r="O18" i="7" s="1"/>
  <c r="P18" i="7" a="1"/>
  <c r="P18" i="7" s="1"/>
  <c r="E6" i="7" a="1"/>
  <c r="E6" i="7" s="1"/>
  <c r="F6" i="7" a="1"/>
  <c r="F6" i="7" s="1"/>
  <c r="G6" i="7" a="1"/>
  <c r="G6" i="7" s="1"/>
  <c r="H6" i="7" a="1"/>
  <c r="H6" i="7" s="1"/>
  <c r="I6" i="7" a="1"/>
  <c r="I6" i="7" s="1"/>
  <c r="J6" i="7" a="1"/>
  <c r="J6" i="7" s="1"/>
  <c r="K6" i="7" a="1"/>
  <c r="K6" i="7" s="1"/>
  <c r="L6" i="7" a="1"/>
  <c r="L6" i="7" s="1"/>
  <c r="M6" i="7" a="1"/>
  <c r="M6" i="7" s="1"/>
  <c r="N6" i="7" a="1"/>
  <c r="N6" i="7" s="1"/>
  <c r="O6" i="7" a="1"/>
  <c r="O6" i="7" s="1"/>
  <c r="P6" i="7" a="1"/>
  <c r="P6" i="7" s="1"/>
  <c r="D6" i="7" a="1"/>
  <c r="D6" i="7" s="1"/>
  <c r="Q8" i="7" l="1"/>
  <c r="R8" i="7" s="1"/>
  <c r="Q7" i="7"/>
  <c r="Q9" i="7"/>
  <c r="R9" i="7" s="1"/>
  <c r="Q14" i="7"/>
  <c r="Q15" i="7"/>
  <c r="R15" i="7" s="1"/>
  <c r="Q13" i="7"/>
  <c r="R13" i="7" s="1"/>
  <c r="Q12" i="7"/>
  <c r="Q11" i="7"/>
  <c r="R11" i="7" s="1"/>
  <c r="Q10" i="7"/>
  <c r="Q6" i="7"/>
  <c r="R7" i="7" s="1"/>
  <c r="Q16" i="7"/>
  <c r="Q18" i="7"/>
  <c r="Q17" i="7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C17" i="6"/>
  <c r="D7" i="5" a="1"/>
  <c r="D7" i="5" s="1"/>
  <c r="D8" i="5" a="1"/>
  <c r="D8" i="5" s="1"/>
  <c r="D9" i="5" a="1"/>
  <c r="D9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D19" i="5" a="1"/>
  <c r="D19" i="5" s="1"/>
  <c r="D6" i="5" a="1"/>
  <c r="D6" i="5" s="1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B12" i="2" s="1" a="1"/>
  <c r="B12" i="2" s="1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R18" i="7" l="1"/>
  <c r="R16" i="7"/>
  <c r="R10" i="7"/>
  <c r="R12" i="7"/>
  <c r="R14" i="7"/>
  <c r="R17" i="7"/>
  <c r="E8" i="5"/>
  <c r="E10" i="5"/>
  <c r="E16" i="5"/>
  <c r="E14" i="5"/>
  <c r="E18" i="5"/>
  <c r="E12" i="5"/>
  <c r="E6" i="5"/>
  <c r="AL373" i="3"/>
  <c r="AK373" i="3"/>
  <c r="AJ373" i="3"/>
  <c r="AI373" i="3"/>
  <c r="AH373" i="3"/>
  <c r="AG373" i="3"/>
  <c r="AF373" i="3"/>
  <c r="AL372" i="3"/>
  <c r="AK372" i="3"/>
  <c r="AJ372" i="3"/>
  <c r="AI372" i="3"/>
  <c r="AH372" i="3"/>
  <c r="AG372" i="3"/>
  <c r="AF372" i="3"/>
  <c r="AL371" i="3"/>
  <c r="AK371" i="3"/>
  <c r="B18" i="2" s="1" a="1"/>
  <c r="B18" i="2" s="1"/>
  <c r="AJ371" i="3"/>
  <c r="B17" i="2" s="1" a="1"/>
  <c r="B17" i="2" s="1"/>
  <c r="AI371" i="3"/>
  <c r="B16" i="2" s="1" a="1"/>
  <c r="B16" i="2" s="1"/>
  <c r="AH371" i="3"/>
  <c r="B15" i="2" s="1" a="1"/>
  <c r="B15" i="2" s="1"/>
  <c r="AG371" i="3"/>
  <c r="AF371" i="3"/>
  <c r="AL370" i="3"/>
  <c r="AK370" i="3"/>
  <c r="AJ370" i="3"/>
  <c r="AI370" i="3"/>
  <c r="AH370" i="3"/>
  <c r="AG370" i="3"/>
  <c r="AF370" i="3"/>
  <c r="AL369" i="3"/>
  <c r="AK369" i="3"/>
  <c r="AJ369" i="3"/>
  <c r="AI369" i="3"/>
  <c r="AH369" i="3"/>
  <c r="AG369" i="3"/>
  <c r="AF369" i="3"/>
  <c r="AL368" i="3"/>
  <c r="AK368" i="3"/>
  <c r="AJ368" i="3"/>
  <c r="AI368" i="3"/>
  <c r="AH368" i="3"/>
  <c r="AG368" i="3"/>
  <c r="AF368" i="3"/>
  <c r="AL367" i="3"/>
  <c r="AK367" i="3"/>
  <c r="AJ367" i="3"/>
  <c r="AI367" i="3"/>
  <c r="AH367" i="3"/>
  <c r="AG367" i="3"/>
  <c r="AF367" i="3"/>
  <c r="AL366" i="3"/>
  <c r="AK366" i="3"/>
  <c r="AJ366" i="3"/>
  <c r="AI366" i="3"/>
  <c r="AH366" i="3"/>
  <c r="AG366" i="3"/>
  <c r="AF366" i="3"/>
  <c r="AL365" i="3"/>
  <c r="AK365" i="3"/>
  <c r="AJ365" i="3"/>
  <c r="AI365" i="3"/>
  <c r="AH365" i="3"/>
  <c r="AG365" i="3"/>
  <c r="AF365" i="3"/>
  <c r="AL364" i="3"/>
  <c r="AK364" i="3"/>
  <c r="AJ364" i="3"/>
  <c r="AI364" i="3"/>
  <c r="AH364" i="3"/>
  <c r="AG364" i="3"/>
  <c r="AF364" i="3"/>
  <c r="AL363" i="3"/>
  <c r="AK363" i="3"/>
  <c r="AJ363" i="3"/>
  <c r="AI363" i="3"/>
  <c r="AH363" i="3"/>
  <c r="AG363" i="3"/>
  <c r="AF363" i="3"/>
  <c r="AL362" i="3"/>
  <c r="AK362" i="3"/>
  <c r="AJ362" i="3"/>
  <c r="AI362" i="3"/>
  <c r="AH362" i="3"/>
  <c r="AG362" i="3"/>
  <c r="AF362" i="3"/>
  <c r="AL361" i="3"/>
  <c r="AK361" i="3"/>
  <c r="AJ361" i="3"/>
  <c r="AI361" i="3"/>
  <c r="AH361" i="3"/>
  <c r="AG361" i="3"/>
  <c r="AF361" i="3"/>
  <c r="AL360" i="3"/>
  <c r="AK360" i="3"/>
  <c r="AJ360" i="3"/>
  <c r="AI360" i="3"/>
  <c r="AH360" i="3"/>
  <c r="AG360" i="3"/>
  <c r="AF360" i="3"/>
  <c r="AL359" i="3"/>
  <c r="AK359" i="3"/>
  <c r="AJ359" i="3"/>
  <c r="AI359" i="3"/>
  <c r="AH359" i="3"/>
  <c r="AG359" i="3"/>
  <c r="AF359" i="3"/>
  <c r="AL358" i="3"/>
  <c r="AK358" i="3"/>
  <c r="AJ358" i="3"/>
  <c r="AI358" i="3"/>
  <c r="AH358" i="3"/>
  <c r="AG358" i="3"/>
  <c r="AF358" i="3"/>
  <c r="AL357" i="3"/>
  <c r="AK357" i="3"/>
  <c r="AJ357" i="3"/>
  <c r="AI357" i="3"/>
  <c r="AH357" i="3"/>
  <c r="AG357" i="3"/>
  <c r="AF357" i="3"/>
  <c r="AL356" i="3"/>
  <c r="AK356" i="3"/>
  <c r="AJ356" i="3"/>
  <c r="AI356" i="3"/>
  <c r="AH356" i="3"/>
  <c r="AG356" i="3"/>
  <c r="AF356" i="3"/>
  <c r="AL355" i="3"/>
  <c r="AK355" i="3"/>
  <c r="AJ355" i="3"/>
  <c r="AI355" i="3"/>
  <c r="AH355" i="3"/>
  <c r="AG355" i="3"/>
  <c r="AF355" i="3"/>
  <c r="AL354" i="3"/>
  <c r="AK354" i="3"/>
  <c r="AJ354" i="3"/>
  <c r="AI354" i="3"/>
  <c r="AH354" i="3"/>
  <c r="AG354" i="3"/>
  <c r="AF354" i="3"/>
  <c r="AL353" i="3"/>
  <c r="AK353" i="3"/>
  <c r="AJ353" i="3"/>
  <c r="AI353" i="3"/>
  <c r="AH353" i="3"/>
  <c r="AG353" i="3"/>
  <c r="AF353" i="3"/>
  <c r="AL352" i="3"/>
  <c r="AK352" i="3"/>
  <c r="AJ352" i="3"/>
  <c r="AI352" i="3"/>
  <c r="AH352" i="3"/>
  <c r="AG352" i="3"/>
  <c r="AF352" i="3"/>
  <c r="AL351" i="3"/>
  <c r="AK351" i="3"/>
  <c r="AJ351" i="3"/>
  <c r="AI351" i="3"/>
  <c r="AH351" i="3"/>
  <c r="AG351" i="3"/>
  <c r="AF351" i="3"/>
  <c r="AL350" i="3"/>
  <c r="AK350" i="3"/>
  <c r="AJ350" i="3"/>
  <c r="AI350" i="3"/>
  <c r="AH350" i="3"/>
  <c r="AG350" i="3"/>
  <c r="AF350" i="3"/>
  <c r="AL349" i="3"/>
  <c r="AK349" i="3"/>
  <c r="AJ349" i="3"/>
  <c r="AI349" i="3"/>
  <c r="AH349" i="3"/>
  <c r="AG349" i="3"/>
  <c r="AF349" i="3"/>
  <c r="AL348" i="3"/>
  <c r="AK348" i="3"/>
  <c r="AJ348" i="3"/>
  <c r="AI348" i="3"/>
  <c r="AH348" i="3"/>
  <c r="AG348" i="3"/>
  <c r="AF348" i="3"/>
  <c r="AL347" i="3"/>
  <c r="AK347" i="3"/>
  <c r="AJ347" i="3"/>
  <c r="AI347" i="3"/>
  <c r="AH347" i="3"/>
  <c r="AG347" i="3"/>
  <c r="AF347" i="3"/>
  <c r="AL346" i="3"/>
  <c r="AK346" i="3"/>
  <c r="AJ346" i="3"/>
  <c r="AI346" i="3"/>
  <c r="AH346" i="3"/>
  <c r="AG346" i="3"/>
  <c r="AF346" i="3"/>
  <c r="AL345" i="3"/>
  <c r="AK345" i="3"/>
  <c r="AJ345" i="3"/>
  <c r="AI345" i="3"/>
  <c r="AH345" i="3"/>
  <c r="AG345" i="3"/>
  <c r="AF345" i="3"/>
  <c r="AL344" i="3"/>
  <c r="AK344" i="3"/>
  <c r="AJ344" i="3"/>
  <c r="AI344" i="3"/>
  <c r="AH344" i="3"/>
  <c r="AG344" i="3"/>
  <c r="AF344" i="3"/>
  <c r="AL343" i="3"/>
  <c r="AK343" i="3"/>
  <c r="AJ343" i="3"/>
  <c r="AI343" i="3"/>
  <c r="AH343" i="3"/>
  <c r="AG343" i="3"/>
  <c r="AF343" i="3"/>
  <c r="AL342" i="3"/>
  <c r="AK342" i="3"/>
  <c r="AJ342" i="3"/>
  <c r="AI342" i="3"/>
  <c r="AH342" i="3"/>
  <c r="AG342" i="3"/>
  <c r="AF342" i="3"/>
  <c r="AL341" i="3"/>
  <c r="AK341" i="3"/>
  <c r="AJ341" i="3"/>
  <c r="AI341" i="3"/>
  <c r="AH341" i="3"/>
  <c r="AG341" i="3"/>
  <c r="AF341" i="3"/>
  <c r="AL340" i="3"/>
  <c r="AK340" i="3"/>
  <c r="AJ340" i="3"/>
  <c r="AI340" i="3"/>
  <c r="AH340" i="3"/>
  <c r="AG340" i="3"/>
  <c r="AF340" i="3"/>
  <c r="AL339" i="3"/>
  <c r="AK339" i="3"/>
  <c r="AJ339" i="3"/>
  <c r="AI339" i="3"/>
  <c r="AH339" i="3"/>
  <c r="AG339" i="3"/>
  <c r="AF339" i="3"/>
  <c r="AL338" i="3"/>
  <c r="AK338" i="3"/>
  <c r="AJ338" i="3"/>
  <c r="AI338" i="3"/>
  <c r="AH338" i="3"/>
  <c r="AG338" i="3"/>
  <c r="AF338" i="3"/>
  <c r="AL337" i="3"/>
  <c r="AK337" i="3"/>
  <c r="AJ337" i="3"/>
  <c r="AI337" i="3"/>
  <c r="AH337" i="3"/>
  <c r="AG337" i="3"/>
  <c r="AF337" i="3"/>
  <c r="AL336" i="3"/>
  <c r="AK336" i="3"/>
  <c r="AJ336" i="3"/>
  <c r="AI336" i="3"/>
  <c r="AH336" i="3"/>
  <c r="AG336" i="3"/>
  <c r="AF336" i="3"/>
  <c r="AL335" i="3"/>
  <c r="AK335" i="3"/>
  <c r="AJ335" i="3"/>
  <c r="AI335" i="3"/>
  <c r="AH335" i="3"/>
  <c r="AG335" i="3"/>
  <c r="AF335" i="3"/>
  <c r="AL334" i="3"/>
  <c r="AK334" i="3"/>
  <c r="AJ334" i="3"/>
  <c r="AI334" i="3"/>
  <c r="AH334" i="3"/>
  <c r="AG334" i="3"/>
  <c r="AF334" i="3"/>
  <c r="AL333" i="3"/>
  <c r="AK333" i="3"/>
  <c r="AJ333" i="3"/>
  <c r="AI333" i="3"/>
  <c r="AH333" i="3"/>
  <c r="AG333" i="3"/>
  <c r="AF333" i="3"/>
  <c r="AL332" i="3"/>
  <c r="AK332" i="3"/>
  <c r="AJ332" i="3"/>
  <c r="AI332" i="3"/>
  <c r="AH332" i="3"/>
  <c r="AG332" i="3"/>
  <c r="AF332" i="3"/>
  <c r="AL331" i="3"/>
  <c r="AK331" i="3"/>
  <c r="AJ331" i="3"/>
  <c r="AI331" i="3"/>
  <c r="AH331" i="3"/>
  <c r="AG331" i="3"/>
  <c r="AF331" i="3"/>
  <c r="AL330" i="3"/>
  <c r="AK330" i="3"/>
  <c r="AJ330" i="3"/>
  <c r="AI330" i="3"/>
  <c r="AH330" i="3"/>
  <c r="AG330" i="3"/>
  <c r="AF330" i="3"/>
  <c r="AL329" i="3"/>
  <c r="AK329" i="3"/>
  <c r="AJ329" i="3"/>
  <c r="AI329" i="3"/>
  <c r="AH329" i="3"/>
  <c r="AG329" i="3"/>
  <c r="AF329" i="3"/>
  <c r="AL328" i="3"/>
  <c r="AK328" i="3"/>
  <c r="AJ328" i="3"/>
  <c r="AI328" i="3"/>
  <c r="AH328" i="3"/>
  <c r="AG328" i="3"/>
  <c r="AF328" i="3"/>
  <c r="AL327" i="3"/>
  <c r="AK327" i="3"/>
  <c r="AJ327" i="3"/>
  <c r="AI327" i="3"/>
  <c r="AH327" i="3"/>
  <c r="AG327" i="3"/>
  <c r="AF327" i="3"/>
  <c r="AL326" i="3"/>
  <c r="AK326" i="3"/>
  <c r="AJ326" i="3"/>
  <c r="AI326" i="3"/>
  <c r="AH326" i="3"/>
  <c r="AG326" i="3"/>
  <c r="AF326" i="3"/>
  <c r="AL325" i="3"/>
  <c r="AK325" i="3"/>
  <c r="AJ325" i="3"/>
  <c r="AI325" i="3"/>
  <c r="AH325" i="3"/>
  <c r="AG325" i="3"/>
  <c r="AF325" i="3"/>
  <c r="AL324" i="3"/>
  <c r="AK324" i="3"/>
  <c r="AJ324" i="3"/>
  <c r="AI324" i="3"/>
  <c r="AH324" i="3"/>
  <c r="AG324" i="3"/>
  <c r="AF324" i="3"/>
  <c r="AL323" i="3"/>
  <c r="AK323" i="3"/>
  <c r="AJ323" i="3"/>
  <c r="AI323" i="3"/>
  <c r="AH323" i="3"/>
  <c r="AG323" i="3"/>
  <c r="AF323" i="3"/>
  <c r="AL322" i="3"/>
  <c r="AK322" i="3"/>
  <c r="AJ322" i="3"/>
  <c r="AI322" i="3"/>
  <c r="AH322" i="3"/>
  <c r="AG322" i="3"/>
  <c r="AF322" i="3"/>
  <c r="AL321" i="3"/>
  <c r="AK321" i="3"/>
  <c r="AJ321" i="3"/>
  <c r="AI321" i="3"/>
  <c r="AH321" i="3"/>
  <c r="AG321" i="3"/>
  <c r="AF321" i="3"/>
  <c r="AL320" i="3"/>
  <c r="AK320" i="3"/>
  <c r="AJ320" i="3"/>
  <c r="AI320" i="3"/>
  <c r="AH320" i="3"/>
  <c r="AG320" i="3"/>
  <c r="AF320" i="3"/>
  <c r="AL319" i="3"/>
  <c r="AK319" i="3"/>
  <c r="AJ319" i="3"/>
  <c r="AI319" i="3"/>
  <c r="AH319" i="3"/>
  <c r="AG319" i="3"/>
  <c r="AF319" i="3"/>
  <c r="AL318" i="3"/>
  <c r="AK318" i="3"/>
  <c r="AJ318" i="3"/>
  <c r="AI318" i="3"/>
  <c r="AH318" i="3"/>
  <c r="AG318" i="3"/>
  <c r="AF318" i="3"/>
  <c r="AL317" i="3"/>
  <c r="AK317" i="3"/>
  <c r="AJ317" i="3"/>
  <c r="AI317" i="3"/>
  <c r="AH317" i="3"/>
  <c r="AG317" i="3"/>
  <c r="AF317" i="3"/>
  <c r="AL316" i="3"/>
  <c r="AK316" i="3"/>
  <c r="AJ316" i="3"/>
  <c r="AI316" i="3"/>
  <c r="AH316" i="3"/>
  <c r="AG316" i="3"/>
  <c r="AF316" i="3"/>
  <c r="AL315" i="3"/>
  <c r="AK315" i="3"/>
  <c r="AJ315" i="3"/>
  <c r="AI315" i="3"/>
  <c r="AH315" i="3"/>
  <c r="AG315" i="3"/>
  <c r="AF315" i="3"/>
  <c r="AL314" i="3"/>
  <c r="AK314" i="3"/>
  <c r="AJ314" i="3"/>
  <c r="AI314" i="3"/>
  <c r="AH314" i="3"/>
  <c r="AG314" i="3"/>
  <c r="AF314" i="3"/>
  <c r="AL313" i="3"/>
  <c r="AK313" i="3"/>
  <c r="AJ313" i="3"/>
  <c r="AI313" i="3"/>
  <c r="AH313" i="3"/>
  <c r="AG313" i="3"/>
  <c r="AF313" i="3"/>
  <c r="AL312" i="3"/>
  <c r="AK312" i="3"/>
  <c r="AJ312" i="3"/>
  <c r="AI312" i="3"/>
  <c r="AH312" i="3"/>
  <c r="AG312" i="3"/>
  <c r="AF312" i="3"/>
  <c r="AL311" i="3"/>
  <c r="AK311" i="3"/>
  <c r="AJ311" i="3"/>
  <c r="AI311" i="3"/>
  <c r="AH311" i="3"/>
  <c r="AG311" i="3"/>
  <c r="AF311" i="3"/>
  <c r="AL310" i="3"/>
  <c r="AK310" i="3"/>
  <c r="AJ310" i="3"/>
  <c r="AI310" i="3"/>
  <c r="AH310" i="3"/>
  <c r="AG310" i="3"/>
  <c r="AF310" i="3"/>
  <c r="AL309" i="3"/>
  <c r="AK309" i="3"/>
  <c r="AJ309" i="3"/>
  <c r="AI309" i="3"/>
  <c r="AH309" i="3"/>
  <c r="AG309" i="3"/>
  <c r="AF309" i="3"/>
  <c r="AL308" i="3"/>
  <c r="AK308" i="3"/>
  <c r="AJ308" i="3"/>
  <c r="AI308" i="3"/>
  <c r="AH308" i="3"/>
  <c r="AG308" i="3"/>
  <c r="AF308" i="3"/>
  <c r="AL307" i="3"/>
  <c r="AK307" i="3"/>
  <c r="AJ307" i="3"/>
  <c r="AI307" i="3"/>
  <c r="AH307" i="3"/>
  <c r="AG307" i="3"/>
  <c r="AF307" i="3"/>
  <c r="AL306" i="3"/>
  <c r="AK306" i="3"/>
  <c r="AJ306" i="3"/>
  <c r="AI306" i="3"/>
  <c r="AH306" i="3"/>
  <c r="AG306" i="3"/>
  <c r="AF306" i="3"/>
  <c r="AL305" i="3"/>
  <c r="AK305" i="3"/>
  <c r="AJ305" i="3"/>
  <c r="AI305" i="3"/>
  <c r="AH305" i="3"/>
  <c r="AG305" i="3"/>
  <c r="AF305" i="3"/>
  <c r="AL304" i="3"/>
  <c r="AK304" i="3"/>
  <c r="AJ304" i="3"/>
  <c r="AI304" i="3"/>
  <c r="AH304" i="3"/>
  <c r="AG304" i="3"/>
  <c r="AF304" i="3"/>
  <c r="AL303" i="3"/>
  <c r="AK303" i="3"/>
  <c r="AJ303" i="3"/>
  <c r="AI303" i="3"/>
  <c r="AH303" i="3"/>
  <c r="AG303" i="3"/>
  <c r="AF303" i="3"/>
  <c r="AL302" i="3"/>
  <c r="AK302" i="3"/>
  <c r="AJ302" i="3"/>
  <c r="AI302" i="3"/>
  <c r="AH302" i="3"/>
  <c r="AG302" i="3"/>
  <c r="AF302" i="3"/>
  <c r="AL301" i="3"/>
  <c r="AK301" i="3"/>
  <c r="AJ301" i="3"/>
  <c r="AI301" i="3"/>
  <c r="AH301" i="3"/>
  <c r="AG301" i="3"/>
  <c r="AF301" i="3"/>
  <c r="AL300" i="3"/>
  <c r="AK300" i="3"/>
  <c r="AJ300" i="3"/>
  <c r="AI300" i="3"/>
  <c r="AH300" i="3"/>
  <c r="AG300" i="3"/>
  <c r="AF300" i="3"/>
  <c r="AL299" i="3"/>
  <c r="AK299" i="3"/>
  <c r="AJ299" i="3"/>
  <c r="AI299" i="3"/>
  <c r="AH299" i="3"/>
  <c r="AG299" i="3"/>
  <c r="AF299" i="3"/>
  <c r="AL298" i="3"/>
  <c r="AK298" i="3"/>
  <c r="AJ298" i="3"/>
  <c r="AI298" i="3"/>
  <c r="AH298" i="3"/>
  <c r="AG298" i="3"/>
  <c r="AF298" i="3"/>
  <c r="AL297" i="3"/>
  <c r="AK297" i="3"/>
  <c r="AJ297" i="3"/>
  <c r="AI297" i="3"/>
  <c r="AH297" i="3"/>
  <c r="AG297" i="3"/>
  <c r="AF297" i="3"/>
  <c r="AL296" i="3"/>
  <c r="AK296" i="3"/>
  <c r="AJ296" i="3"/>
  <c r="AI296" i="3"/>
  <c r="AH296" i="3"/>
  <c r="AG296" i="3"/>
  <c r="AF296" i="3"/>
  <c r="AL295" i="3"/>
  <c r="AK295" i="3"/>
  <c r="AJ295" i="3"/>
  <c r="AI295" i="3"/>
  <c r="AH295" i="3"/>
  <c r="AG295" i="3"/>
  <c r="AF295" i="3"/>
  <c r="AL294" i="3"/>
  <c r="AK294" i="3"/>
  <c r="AJ294" i="3"/>
  <c r="AI294" i="3"/>
  <c r="AH294" i="3"/>
  <c r="AG294" i="3"/>
  <c r="AF294" i="3"/>
  <c r="AL293" i="3"/>
  <c r="AK293" i="3"/>
  <c r="AJ293" i="3"/>
  <c r="AI293" i="3"/>
  <c r="AH293" i="3"/>
  <c r="AG293" i="3"/>
  <c r="AF293" i="3"/>
  <c r="AL292" i="3"/>
  <c r="AK292" i="3"/>
  <c r="AJ292" i="3"/>
  <c r="AI292" i="3"/>
  <c r="AH292" i="3"/>
  <c r="AG292" i="3"/>
  <c r="AF292" i="3"/>
  <c r="AL291" i="3"/>
  <c r="AK291" i="3"/>
  <c r="AJ291" i="3"/>
  <c r="AI291" i="3"/>
  <c r="AH291" i="3"/>
  <c r="AG291" i="3"/>
  <c r="AF291" i="3"/>
  <c r="AL290" i="3"/>
  <c r="AK290" i="3"/>
  <c r="AJ290" i="3"/>
  <c r="AI290" i="3"/>
  <c r="AH290" i="3"/>
  <c r="AG290" i="3"/>
  <c r="AF290" i="3"/>
  <c r="AL289" i="3"/>
  <c r="AK289" i="3"/>
  <c r="AJ289" i="3"/>
  <c r="AI289" i="3"/>
  <c r="AH289" i="3"/>
  <c r="AG289" i="3"/>
  <c r="AF289" i="3"/>
  <c r="AL288" i="3"/>
  <c r="AK288" i="3"/>
  <c r="AJ288" i="3"/>
  <c r="AI288" i="3"/>
  <c r="AH288" i="3"/>
  <c r="AG288" i="3"/>
  <c r="AF288" i="3"/>
  <c r="AL287" i="3"/>
  <c r="AK287" i="3"/>
  <c r="AJ287" i="3"/>
  <c r="AI287" i="3"/>
  <c r="AH287" i="3"/>
  <c r="AG287" i="3"/>
  <c r="AF287" i="3"/>
  <c r="AL286" i="3"/>
  <c r="AK286" i="3"/>
  <c r="AJ286" i="3"/>
  <c r="AI286" i="3"/>
  <c r="AH286" i="3"/>
  <c r="AG286" i="3"/>
  <c r="AF286" i="3"/>
  <c r="AL285" i="3"/>
  <c r="AK285" i="3"/>
  <c r="AJ285" i="3"/>
  <c r="AI285" i="3"/>
  <c r="AH285" i="3"/>
  <c r="AG285" i="3"/>
  <c r="AF285" i="3"/>
  <c r="AL284" i="3"/>
  <c r="AK284" i="3"/>
  <c r="AJ284" i="3"/>
  <c r="AI284" i="3"/>
  <c r="AH284" i="3"/>
  <c r="AG284" i="3"/>
  <c r="AF284" i="3"/>
  <c r="AL283" i="3"/>
  <c r="AK283" i="3"/>
  <c r="AJ283" i="3"/>
  <c r="AI283" i="3"/>
  <c r="AH283" i="3"/>
  <c r="AG283" i="3"/>
  <c r="AF283" i="3"/>
  <c r="AL282" i="3"/>
  <c r="AK282" i="3"/>
  <c r="AJ282" i="3"/>
  <c r="AI282" i="3"/>
  <c r="AH282" i="3"/>
  <c r="AG282" i="3"/>
  <c r="AF282" i="3"/>
  <c r="AL281" i="3"/>
  <c r="AK281" i="3"/>
  <c r="AJ281" i="3"/>
  <c r="AI281" i="3"/>
  <c r="AH281" i="3"/>
  <c r="AG281" i="3"/>
  <c r="AF281" i="3"/>
  <c r="AL280" i="3"/>
  <c r="AK280" i="3"/>
  <c r="AJ280" i="3"/>
  <c r="AI280" i="3"/>
  <c r="AH280" i="3"/>
  <c r="AG280" i="3"/>
  <c r="AF280" i="3"/>
  <c r="AL279" i="3"/>
  <c r="AK279" i="3"/>
  <c r="AJ279" i="3"/>
  <c r="AI279" i="3"/>
  <c r="AH279" i="3"/>
  <c r="AG279" i="3"/>
  <c r="AF279" i="3"/>
  <c r="AL278" i="3"/>
  <c r="AK278" i="3"/>
  <c r="AJ278" i="3"/>
  <c r="AI278" i="3"/>
  <c r="AH278" i="3"/>
  <c r="AG278" i="3"/>
  <c r="AF278" i="3"/>
  <c r="AL277" i="3"/>
  <c r="AK277" i="3"/>
  <c r="AJ277" i="3"/>
  <c r="AI277" i="3"/>
  <c r="AH277" i="3"/>
  <c r="AG277" i="3"/>
  <c r="AF277" i="3"/>
  <c r="AL276" i="3"/>
  <c r="AK276" i="3"/>
  <c r="AJ276" i="3"/>
  <c r="AI276" i="3"/>
  <c r="AH276" i="3"/>
  <c r="AG276" i="3"/>
  <c r="AF276" i="3"/>
  <c r="AL275" i="3"/>
  <c r="AK275" i="3"/>
  <c r="AJ275" i="3"/>
  <c r="AI275" i="3"/>
  <c r="AH275" i="3"/>
  <c r="AG275" i="3"/>
  <c r="AF275" i="3"/>
  <c r="AL274" i="3"/>
  <c r="AK274" i="3"/>
  <c r="AJ274" i="3"/>
  <c r="AI274" i="3"/>
  <c r="AH274" i="3"/>
  <c r="AG274" i="3"/>
  <c r="AF274" i="3"/>
  <c r="AL273" i="3"/>
  <c r="AK273" i="3"/>
  <c r="AJ273" i="3"/>
  <c r="AI273" i="3"/>
  <c r="AH273" i="3"/>
  <c r="AG273" i="3"/>
  <c r="AF273" i="3"/>
  <c r="AL272" i="3"/>
  <c r="AK272" i="3"/>
  <c r="AJ272" i="3"/>
  <c r="AI272" i="3"/>
  <c r="AH272" i="3"/>
  <c r="AG272" i="3"/>
  <c r="AF272" i="3"/>
  <c r="AL271" i="3"/>
  <c r="AK271" i="3"/>
  <c r="AJ271" i="3"/>
  <c r="AI271" i="3"/>
  <c r="AH271" i="3"/>
  <c r="AG271" i="3"/>
  <c r="AF271" i="3"/>
  <c r="AL270" i="3"/>
  <c r="AK270" i="3"/>
  <c r="AJ270" i="3"/>
  <c r="AI270" i="3"/>
  <c r="AH270" i="3"/>
  <c r="AG270" i="3"/>
  <c r="AF270" i="3"/>
  <c r="AL269" i="3"/>
  <c r="AK269" i="3"/>
  <c r="AJ269" i="3"/>
  <c r="AI269" i="3"/>
  <c r="AH269" i="3"/>
  <c r="AG269" i="3"/>
  <c r="AF269" i="3"/>
  <c r="AL268" i="3"/>
  <c r="AK268" i="3"/>
  <c r="AJ268" i="3"/>
  <c r="AI268" i="3"/>
  <c r="AH268" i="3"/>
  <c r="AG268" i="3"/>
  <c r="AF268" i="3"/>
  <c r="AL267" i="3"/>
  <c r="AK267" i="3"/>
  <c r="AJ267" i="3"/>
  <c r="AI267" i="3"/>
  <c r="AH267" i="3"/>
  <c r="AG267" i="3"/>
  <c r="AF267" i="3"/>
  <c r="AL266" i="3"/>
  <c r="AK266" i="3"/>
  <c r="AJ266" i="3"/>
  <c r="AI266" i="3"/>
  <c r="AH266" i="3"/>
  <c r="AG266" i="3"/>
  <c r="AF266" i="3"/>
  <c r="AL265" i="3"/>
  <c r="AK265" i="3"/>
  <c r="AJ265" i="3"/>
  <c r="AI265" i="3"/>
  <c r="AH265" i="3"/>
  <c r="AG265" i="3"/>
  <c r="AF265" i="3"/>
  <c r="AL264" i="3"/>
  <c r="AK264" i="3"/>
  <c r="AJ264" i="3"/>
  <c r="AI264" i="3"/>
  <c r="AH264" i="3"/>
  <c r="AG264" i="3"/>
  <c r="AF264" i="3"/>
  <c r="AL263" i="3"/>
  <c r="AK263" i="3"/>
  <c r="AJ263" i="3"/>
  <c r="AI263" i="3"/>
  <c r="AH263" i="3"/>
  <c r="AG263" i="3"/>
  <c r="AF263" i="3"/>
  <c r="AL262" i="3"/>
  <c r="AK262" i="3"/>
  <c r="AJ262" i="3"/>
  <c r="AI262" i="3"/>
  <c r="AH262" i="3"/>
  <c r="AG262" i="3"/>
  <c r="AF262" i="3"/>
  <c r="AL261" i="3"/>
  <c r="AK261" i="3"/>
  <c r="AJ261" i="3"/>
  <c r="AI261" i="3"/>
  <c r="AH261" i="3"/>
  <c r="AG261" i="3"/>
  <c r="AF261" i="3"/>
  <c r="AL260" i="3"/>
  <c r="AK260" i="3"/>
  <c r="AJ260" i="3"/>
  <c r="AI260" i="3"/>
  <c r="AH260" i="3"/>
  <c r="AG260" i="3"/>
  <c r="AF260" i="3"/>
  <c r="AL259" i="3"/>
  <c r="AK259" i="3"/>
  <c r="AJ259" i="3"/>
  <c r="AI259" i="3"/>
  <c r="AH259" i="3"/>
  <c r="AG259" i="3"/>
  <c r="AF259" i="3"/>
  <c r="AL258" i="3"/>
  <c r="AK258" i="3"/>
  <c r="AJ258" i="3"/>
  <c r="AI258" i="3"/>
  <c r="AH258" i="3"/>
  <c r="AG258" i="3"/>
  <c r="AF258" i="3"/>
  <c r="AL257" i="3"/>
  <c r="AK257" i="3"/>
  <c r="AJ257" i="3"/>
  <c r="AI257" i="3"/>
  <c r="AH257" i="3"/>
  <c r="AG257" i="3"/>
  <c r="AF257" i="3"/>
  <c r="AL256" i="3"/>
  <c r="AK256" i="3"/>
  <c r="AJ256" i="3"/>
  <c r="AI256" i="3"/>
  <c r="AH256" i="3"/>
  <c r="AG256" i="3"/>
  <c r="AF256" i="3"/>
  <c r="AL255" i="3"/>
  <c r="AK255" i="3"/>
  <c r="AJ255" i="3"/>
  <c r="AI255" i="3"/>
  <c r="AH255" i="3"/>
  <c r="AG255" i="3"/>
  <c r="AF255" i="3"/>
  <c r="AL254" i="3"/>
  <c r="AK254" i="3"/>
  <c r="AJ254" i="3"/>
  <c r="AI254" i="3"/>
  <c r="AH254" i="3"/>
  <c r="AG254" i="3"/>
  <c r="AF254" i="3"/>
  <c r="AL253" i="3"/>
  <c r="AK253" i="3"/>
  <c r="AJ253" i="3"/>
  <c r="AI253" i="3"/>
  <c r="AH253" i="3"/>
  <c r="AG253" i="3"/>
  <c r="AF253" i="3"/>
  <c r="AL252" i="3"/>
  <c r="AK252" i="3"/>
  <c r="AJ252" i="3"/>
  <c r="AI252" i="3"/>
  <c r="AH252" i="3"/>
  <c r="AG252" i="3"/>
  <c r="AF252" i="3"/>
  <c r="AL251" i="3"/>
  <c r="AK251" i="3"/>
  <c r="AJ251" i="3"/>
  <c r="AI251" i="3"/>
  <c r="AH251" i="3"/>
  <c r="AG251" i="3"/>
  <c r="AF251" i="3"/>
  <c r="AL250" i="3"/>
  <c r="AK250" i="3"/>
  <c r="AJ250" i="3"/>
  <c r="AI250" i="3"/>
  <c r="AH250" i="3"/>
  <c r="AG250" i="3"/>
  <c r="AF250" i="3"/>
  <c r="AL249" i="3"/>
  <c r="AK249" i="3"/>
  <c r="AJ249" i="3"/>
  <c r="AI249" i="3"/>
  <c r="AH249" i="3"/>
  <c r="AG249" i="3"/>
  <c r="AF249" i="3"/>
  <c r="AL248" i="3"/>
  <c r="AK248" i="3"/>
  <c r="AJ248" i="3"/>
  <c r="AI248" i="3"/>
  <c r="AH248" i="3"/>
  <c r="AG248" i="3"/>
  <c r="AF248" i="3"/>
  <c r="AL247" i="3"/>
  <c r="AK247" i="3"/>
  <c r="AJ247" i="3"/>
  <c r="AI247" i="3"/>
  <c r="AH247" i="3"/>
  <c r="AG247" i="3"/>
  <c r="AF247" i="3"/>
  <c r="AL246" i="3"/>
  <c r="AK246" i="3"/>
  <c r="AJ246" i="3"/>
  <c r="AI246" i="3"/>
  <c r="AH246" i="3"/>
  <c r="AG246" i="3"/>
  <c r="AF246" i="3"/>
  <c r="AL245" i="3"/>
  <c r="AK245" i="3"/>
  <c r="AJ245" i="3"/>
  <c r="AI245" i="3"/>
  <c r="AH245" i="3"/>
  <c r="AG245" i="3"/>
  <c r="AF245" i="3"/>
  <c r="AL244" i="3"/>
  <c r="AK244" i="3"/>
  <c r="AJ244" i="3"/>
  <c r="AI244" i="3"/>
  <c r="AH244" i="3"/>
  <c r="AG244" i="3"/>
  <c r="AF244" i="3"/>
  <c r="AL243" i="3"/>
  <c r="AK243" i="3"/>
  <c r="AJ243" i="3"/>
  <c r="AI243" i="3"/>
  <c r="AH243" i="3"/>
  <c r="AG243" i="3"/>
  <c r="AF243" i="3"/>
  <c r="AL242" i="3"/>
  <c r="AK242" i="3"/>
  <c r="AJ242" i="3"/>
  <c r="AI242" i="3"/>
  <c r="AH242" i="3"/>
  <c r="AG242" i="3"/>
  <c r="AF242" i="3"/>
  <c r="AL241" i="3"/>
  <c r="AK241" i="3"/>
  <c r="AJ241" i="3"/>
  <c r="AI241" i="3"/>
  <c r="AH241" i="3"/>
  <c r="AG241" i="3"/>
  <c r="AF241" i="3"/>
  <c r="AL240" i="3"/>
  <c r="AK240" i="3"/>
  <c r="AJ240" i="3"/>
  <c r="AI240" i="3"/>
  <c r="AH240" i="3"/>
  <c r="AG240" i="3"/>
  <c r="AF240" i="3"/>
  <c r="AL239" i="3"/>
  <c r="AK239" i="3"/>
  <c r="AJ239" i="3"/>
  <c r="AI239" i="3"/>
  <c r="AH239" i="3"/>
  <c r="AG239" i="3"/>
  <c r="AF239" i="3"/>
  <c r="AL238" i="3"/>
  <c r="AK238" i="3"/>
  <c r="AJ238" i="3"/>
  <c r="AI238" i="3"/>
  <c r="AH238" i="3"/>
  <c r="AG238" i="3"/>
  <c r="AF238" i="3"/>
  <c r="AL237" i="3"/>
  <c r="AK237" i="3"/>
  <c r="AJ237" i="3"/>
  <c r="AI237" i="3"/>
  <c r="AH237" i="3"/>
  <c r="AG237" i="3"/>
  <c r="AF237" i="3"/>
  <c r="AL236" i="3"/>
  <c r="AK236" i="3"/>
  <c r="AJ236" i="3"/>
  <c r="AI236" i="3"/>
  <c r="AH236" i="3"/>
  <c r="AG236" i="3"/>
  <c r="AF236" i="3"/>
  <c r="AL235" i="3"/>
  <c r="AK235" i="3"/>
  <c r="AJ235" i="3"/>
  <c r="AI235" i="3"/>
  <c r="AH235" i="3"/>
  <c r="AG235" i="3"/>
  <c r="AF235" i="3"/>
  <c r="AL234" i="3"/>
  <c r="AK234" i="3"/>
  <c r="AJ234" i="3"/>
  <c r="AI234" i="3"/>
  <c r="AH234" i="3"/>
  <c r="AG234" i="3"/>
  <c r="AF234" i="3"/>
  <c r="AL233" i="3"/>
  <c r="AK233" i="3"/>
  <c r="AJ233" i="3"/>
  <c r="AI233" i="3"/>
  <c r="AH233" i="3"/>
  <c r="AG233" i="3"/>
  <c r="AF233" i="3"/>
  <c r="AL232" i="3"/>
  <c r="AK232" i="3"/>
  <c r="AJ232" i="3"/>
  <c r="AI232" i="3"/>
  <c r="AH232" i="3"/>
  <c r="AG232" i="3"/>
  <c r="AF232" i="3"/>
  <c r="AL231" i="3"/>
  <c r="AK231" i="3"/>
  <c r="AJ231" i="3"/>
  <c r="AI231" i="3"/>
  <c r="AH231" i="3"/>
  <c r="AG231" i="3"/>
  <c r="AF231" i="3"/>
  <c r="AL230" i="3"/>
  <c r="AK230" i="3"/>
  <c r="AJ230" i="3"/>
  <c r="AI230" i="3"/>
  <c r="AH230" i="3"/>
  <c r="AG230" i="3"/>
  <c r="AF230" i="3"/>
  <c r="AL229" i="3"/>
  <c r="AK229" i="3"/>
  <c r="AJ229" i="3"/>
  <c r="AI229" i="3"/>
  <c r="AH229" i="3"/>
  <c r="AG229" i="3"/>
  <c r="AF229" i="3"/>
  <c r="AL228" i="3"/>
  <c r="AK228" i="3"/>
  <c r="AJ228" i="3"/>
  <c r="AI228" i="3"/>
  <c r="AH228" i="3"/>
  <c r="AG228" i="3"/>
  <c r="AF228" i="3"/>
  <c r="AL227" i="3"/>
  <c r="AK227" i="3"/>
  <c r="AJ227" i="3"/>
  <c r="AI227" i="3"/>
  <c r="AH227" i="3"/>
  <c r="AG227" i="3"/>
  <c r="AF227" i="3"/>
  <c r="AL226" i="3"/>
  <c r="AK226" i="3"/>
  <c r="AJ226" i="3"/>
  <c r="AI226" i="3"/>
  <c r="AH226" i="3"/>
  <c r="AG226" i="3"/>
  <c r="AF226" i="3"/>
  <c r="AL225" i="3"/>
  <c r="AK225" i="3"/>
  <c r="AJ225" i="3"/>
  <c r="AI225" i="3"/>
  <c r="AH225" i="3"/>
  <c r="AG225" i="3"/>
  <c r="AF225" i="3"/>
  <c r="AL224" i="3"/>
  <c r="AK224" i="3"/>
  <c r="AJ224" i="3"/>
  <c r="AI224" i="3"/>
  <c r="AH224" i="3"/>
  <c r="AG224" i="3"/>
  <c r="AF224" i="3"/>
  <c r="AL223" i="3"/>
  <c r="AK223" i="3"/>
  <c r="AJ223" i="3"/>
  <c r="AI223" i="3"/>
  <c r="AH223" i="3"/>
  <c r="AG223" i="3"/>
  <c r="AF223" i="3"/>
  <c r="AL222" i="3"/>
  <c r="AK222" i="3"/>
  <c r="AJ222" i="3"/>
  <c r="AI222" i="3"/>
  <c r="AH222" i="3"/>
  <c r="AG222" i="3"/>
  <c r="AF222" i="3"/>
  <c r="AL221" i="3"/>
  <c r="AK221" i="3"/>
  <c r="AJ221" i="3"/>
  <c r="AI221" i="3"/>
  <c r="AH221" i="3"/>
  <c r="AG221" i="3"/>
  <c r="AF221" i="3"/>
  <c r="AL220" i="3"/>
  <c r="AK220" i="3"/>
  <c r="AJ220" i="3"/>
  <c r="AI220" i="3"/>
  <c r="AH220" i="3"/>
  <c r="AG220" i="3"/>
  <c r="AF220" i="3"/>
  <c r="AL219" i="3"/>
  <c r="AK219" i="3"/>
  <c r="AJ219" i="3"/>
  <c r="AI219" i="3"/>
  <c r="AH219" i="3"/>
  <c r="AG219" i="3"/>
  <c r="AF219" i="3"/>
  <c r="AL218" i="3"/>
  <c r="AK218" i="3"/>
  <c r="AJ218" i="3"/>
  <c r="AI218" i="3"/>
  <c r="AH218" i="3"/>
  <c r="AG218" i="3"/>
  <c r="AF218" i="3"/>
  <c r="AL217" i="3"/>
  <c r="AK217" i="3"/>
  <c r="AJ217" i="3"/>
  <c r="AI217" i="3"/>
  <c r="AH217" i="3"/>
  <c r="AG217" i="3"/>
  <c r="AF217" i="3"/>
  <c r="AL216" i="3"/>
  <c r="AK216" i="3"/>
  <c r="AJ216" i="3"/>
  <c r="AI216" i="3"/>
  <c r="AH216" i="3"/>
  <c r="AG216" i="3"/>
  <c r="AF216" i="3"/>
  <c r="AL215" i="3"/>
  <c r="AK215" i="3"/>
  <c r="AJ215" i="3"/>
  <c r="AI215" i="3"/>
  <c r="AH215" i="3"/>
  <c r="AG215" i="3"/>
  <c r="AF215" i="3"/>
  <c r="AL214" i="3"/>
  <c r="AK214" i="3"/>
  <c r="AJ214" i="3"/>
  <c r="AI214" i="3"/>
  <c r="AH214" i="3"/>
  <c r="AG214" i="3"/>
  <c r="AF214" i="3"/>
  <c r="AL213" i="3"/>
  <c r="AK213" i="3"/>
  <c r="AJ213" i="3"/>
  <c r="AI213" i="3"/>
  <c r="AH213" i="3"/>
  <c r="AG213" i="3"/>
  <c r="AF213" i="3"/>
  <c r="AL212" i="3"/>
  <c r="AK212" i="3"/>
  <c r="AJ212" i="3"/>
  <c r="AI212" i="3"/>
  <c r="AH212" i="3"/>
  <c r="AG212" i="3"/>
  <c r="AF212" i="3"/>
  <c r="AL211" i="3"/>
  <c r="AK211" i="3"/>
  <c r="AJ211" i="3"/>
  <c r="AI211" i="3"/>
  <c r="AH211" i="3"/>
  <c r="AG211" i="3"/>
  <c r="AF211" i="3"/>
  <c r="AL210" i="3"/>
  <c r="AK210" i="3"/>
  <c r="AJ210" i="3"/>
  <c r="AI210" i="3"/>
  <c r="AH210" i="3"/>
  <c r="AG210" i="3"/>
  <c r="AF210" i="3"/>
  <c r="AL209" i="3"/>
  <c r="AK209" i="3"/>
  <c r="AJ209" i="3"/>
  <c r="AI209" i="3"/>
  <c r="AH209" i="3"/>
  <c r="AG209" i="3"/>
  <c r="AF209" i="3"/>
  <c r="AL208" i="3"/>
  <c r="AK208" i="3"/>
  <c r="AJ208" i="3"/>
  <c r="AI208" i="3"/>
  <c r="AH208" i="3"/>
  <c r="AG208" i="3"/>
  <c r="AF208" i="3"/>
  <c r="AL207" i="3"/>
  <c r="AK207" i="3"/>
  <c r="AJ207" i="3"/>
  <c r="AI207" i="3"/>
  <c r="AH207" i="3"/>
  <c r="AG207" i="3"/>
  <c r="AF207" i="3"/>
  <c r="AL206" i="3"/>
  <c r="AK206" i="3"/>
  <c r="AJ206" i="3"/>
  <c r="AI206" i="3"/>
  <c r="AH206" i="3"/>
  <c r="AG206" i="3"/>
  <c r="AF206" i="3"/>
  <c r="AL205" i="3"/>
  <c r="AK205" i="3"/>
  <c r="AJ205" i="3"/>
  <c r="AI205" i="3"/>
  <c r="AH205" i="3"/>
  <c r="AG205" i="3"/>
  <c r="AF205" i="3"/>
  <c r="AL204" i="3"/>
  <c r="AK204" i="3"/>
  <c r="AJ204" i="3"/>
  <c r="AI204" i="3"/>
  <c r="AH204" i="3"/>
  <c r="AG204" i="3"/>
  <c r="AF204" i="3"/>
  <c r="AL203" i="3"/>
  <c r="AK203" i="3"/>
  <c r="AJ203" i="3"/>
  <c r="AI203" i="3"/>
  <c r="AH203" i="3"/>
  <c r="AG203" i="3"/>
  <c r="AF203" i="3"/>
  <c r="AL202" i="3"/>
  <c r="AK202" i="3"/>
  <c r="AJ202" i="3"/>
  <c r="AI202" i="3"/>
  <c r="AH202" i="3"/>
  <c r="AG202" i="3"/>
  <c r="AF202" i="3"/>
  <c r="AL201" i="3"/>
  <c r="AK201" i="3"/>
  <c r="AJ201" i="3"/>
  <c r="AI201" i="3"/>
  <c r="AH201" i="3"/>
  <c r="AG201" i="3"/>
  <c r="AF201" i="3"/>
  <c r="AL200" i="3"/>
  <c r="AK200" i="3"/>
  <c r="AJ200" i="3"/>
  <c r="AI200" i="3"/>
  <c r="AH200" i="3"/>
  <c r="AG200" i="3"/>
  <c r="AF200" i="3"/>
  <c r="AL199" i="3"/>
  <c r="AK199" i="3"/>
  <c r="AJ199" i="3"/>
  <c r="AI199" i="3"/>
  <c r="AH199" i="3"/>
  <c r="AG199" i="3"/>
  <c r="AF199" i="3"/>
  <c r="AL198" i="3"/>
  <c r="AK198" i="3"/>
  <c r="AJ198" i="3"/>
  <c r="AI198" i="3"/>
  <c r="AH198" i="3"/>
  <c r="AG198" i="3"/>
  <c r="AF198" i="3"/>
  <c r="AL197" i="3"/>
  <c r="AK197" i="3"/>
  <c r="AJ197" i="3"/>
  <c r="AI197" i="3"/>
  <c r="AH197" i="3"/>
  <c r="AG197" i="3"/>
  <c r="AF197" i="3"/>
  <c r="AL196" i="3"/>
  <c r="AK196" i="3"/>
  <c r="AJ196" i="3"/>
  <c r="AI196" i="3"/>
  <c r="AH196" i="3"/>
  <c r="AG196" i="3"/>
  <c r="AF196" i="3"/>
  <c r="AL195" i="3"/>
  <c r="AK195" i="3"/>
  <c r="AJ195" i="3"/>
  <c r="AI195" i="3"/>
  <c r="AH195" i="3"/>
  <c r="AG195" i="3"/>
  <c r="AF195" i="3"/>
  <c r="AL194" i="3"/>
  <c r="AK194" i="3"/>
  <c r="AJ194" i="3"/>
  <c r="AI194" i="3"/>
  <c r="AH194" i="3"/>
  <c r="AG194" i="3"/>
  <c r="AF194" i="3"/>
  <c r="AL193" i="3"/>
  <c r="AK193" i="3"/>
  <c r="AJ193" i="3"/>
  <c r="AI193" i="3"/>
  <c r="AH193" i="3"/>
  <c r="AG193" i="3"/>
  <c r="AF193" i="3"/>
  <c r="AL192" i="3"/>
  <c r="AK192" i="3"/>
  <c r="AJ192" i="3"/>
  <c r="AI192" i="3"/>
  <c r="AH192" i="3"/>
  <c r="AG192" i="3"/>
  <c r="AF192" i="3"/>
  <c r="AL191" i="3"/>
  <c r="AK191" i="3"/>
  <c r="AJ191" i="3"/>
  <c r="AI191" i="3"/>
  <c r="AH191" i="3"/>
  <c r="AG191" i="3"/>
  <c r="AF191" i="3"/>
  <c r="AL190" i="3"/>
  <c r="AK190" i="3"/>
  <c r="AJ190" i="3"/>
  <c r="AI190" i="3"/>
  <c r="AH190" i="3"/>
  <c r="AG190" i="3"/>
  <c r="AF190" i="3"/>
  <c r="AL189" i="3"/>
  <c r="AK189" i="3"/>
  <c r="AJ189" i="3"/>
  <c r="AI189" i="3"/>
  <c r="AH189" i="3"/>
  <c r="AG189" i="3"/>
  <c r="AF189" i="3"/>
  <c r="AL188" i="3"/>
  <c r="AK188" i="3"/>
  <c r="AJ188" i="3"/>
  <c r="AI188" i="3"/>
  <c r="AH188" i="3"/>
  <c r="AG188" i="3"/>
  <c r="AF188" i="3"/>
  <c r="AL187" i="3"/>
  <c r="AK187" i="3"/>
  <c r="AJ187" i="3"/>
  <c r="AI187" i="3"/>
  <c r="AH187" i="3"/>
  <c r="AG187" i="3"/>
  <c r="AF187" i="3"/>
  <c r="AL186" i="3"/>
  <c r="AK186" i="3"/>
  <c r="AJ186" i="3"/>
  <c r="AI186" i="3"/>
  <c r="AH186" i="3"/>
  <c r="AG186" i="3"/>
  <c r="AF186" i="3"/>
  <c r="AL185" i="3"/>
  <c r="AK185" i="3"/>
  <c r="AJ185" i="3"/>
  <c r="AI185" i="3"/>
  <c r="AH185" i="3"/>
  <c r="AG185" i="3"/>
  <c r="AF185" i="3"/>
  <c r="AL184" i="3"/>
  <c r="AK184" i="3"/>
  <c r="AJ184" i="3"/>
  <c r="AI184" i="3"/>
  <c r="AH184" i="3"/>
  <c r="AG184" i="3"/>
  <c r="AF184" i="3"/>
  <c r="AL183" i="3"/>
  <c r="AK183" i="3"/>
  <c r="AJ183" i="3"/>
  <c r="AI183" i="3"/>
  <c r="AH183" i="3"/>
  <c r="AG183" i="3"/>
  <c r="AF183" i="3"/>
  <c r="AL182" i="3"/>
  <c r="AK182" i="3"/>
  <c r="AJ182" i="3"/>
  <c r="AI182" i="3"/>
  <c r="AH182" i="3"/>
  <c r="AG182" i="3"/>
  <c r="AF182" i="3"/>
  <c r="AL181" i="3"/>
  <c r="AK181" i="3"/>
  <c r="AJ181" i="3"/>
  <c r="AI181" i="3"/>
  <c r="AH181" i="3"/>
  <c r="AG181" i="3"/>
  <c r="AF181" i="3"/>
  <c r="AL180" i="3"/>
  <c r="AK180" i="3"/>
  <c r="AJ180" i="3"/>
  <c r="AI180" i="3"/>
  <c r="AH180" i="3"/>
  <c r="AG180" i="3"/>
  <c r="AF180" i="3"/>
  <c r="AL179" i="3"/>
  <c r="AK179" i="3"/>
  <c r="AJ179" i="3"/>
  <c r="AI179" i="3"/>
  <c r="AH179" i="3"/>
  <c r="AG179" i="3"/>
  <c r="AF179" i="3"/>
  <c r="AL178" i="3"/>
  <c r="AK178" i="3"/>
  <c r="AJ178" i="3"/>
  <c r="AI178" i="3"/>
  <c r="AH178" i="3"/>
  <c r="AG178" i="3"/>
  <c r="AF178" i="3"/>
  <c r="AL177" i="3"/>
  <c r="AK177" i="3"/>
  <c r="AJ177" i="3"/>
  <c r="AI177" i="3"/>
  <c r="AH177" i="3"/>
  <c r="AG177" i="3"/>
  <c r="AF177" i="3"/>
  <c r="AL176" i="3"/>
  <c r="AK176" i="3"/>
  <c r="AJ176" i="3"/>
  <c r="AI176" i="3"/>
  <c r="AH176" i="3"/>
  <c r="AG176" i="3"/>
  <c r="AF176" i="3"/>
  <c r="AL175" i="3"/>
  <c r="AK175" i="3"/>
  <c r="AJ175" i="3"/>
  <c r="AI175" i="3"/>
  <c r="AH175" i="3"/>
  <c r="AG175" i="3"/>
  <c r="AF175" i="3"/>
  <c r="AL174" i="3"/>
  <c r="AK174" i="3"/>
  <c r="AJ174" i="3"/>
  <c r="AI174" i="3"/>
  <c r="AH174" i="3"/>
  <c r="AG174" i="3"/>
  <c r="AF174" i="3"/>
  <c r="AL173" i="3"/>
  <c r="AK173" i="3"/>
  <c r="AJ173" i="3"/>
  <c r="AI173" i="3"/>
  <c r="AH173" i="3"/>
  <c r="AG173" i="3"/>
  <c r="AF173" i="3"/>
  <c r="AL172" i="3"/>
  <c r="AK172" i="3"/>
  <c r="AJ172" i="3"/>
  <c r="AI172" i="3"/>
  <c r="AH172" i="3"/>
  <c r="AG172" i="3"/>
  <c r="AF172" i="3"/>
  <c r="AL171" i="3"/>
  <c r="AK171" i="3"/>
  <c r="AJ171" i="3"/>
  <c r="AI171" i="3"/>
  <c r="AH171" i="3"/>
  <c r="AG171" i="3"/>
  <c r="AF171" i="3"/>
  <c r="AL170" i="3"/>
  <c r="AK170" i="3"/>
  <c r="AJ170" i="3"/>
  <c r="AI170" i="3"/>
  <c r="AH170" i="3"/>
  <c r="AG170" i="3"/>
  <c r="AF170" i="3"/>
  <c r="AL169" i="3"/>
  <c r="AK169" i="3"/>
  <c r="AJ169" i="3"/>
  <c r="AI169" i="3"/>
  <c r="AH169" i="3"/>
  <c r="AG169" i="3"/>
  <c r="AF169" i="3"/>
  <c r="AL168" i="3"/>
  <c r="AK168" i="3"/>
  <c r="AJ168" i="3"/>
  <c r="AI168" i="3"/>
  <c r="AH168" i="3"/>
  <c r="AG168" i="3"/>
  <c r="AF168" i="3"/>
  <c r="AL167" i="3"/>
  <c r="AK167" i="3"/>
  <c r="AJ167" i="3"/>
  <c r="AI167" i="3"/>
  <c r="AH167" i="3"/>
  <c r="AG167" i="3"/>
  <c r="AF167" i="3"/>
  <c r="AL166" i="3"/>
  <c r="AK166" i="3"/>
  <c r="AJ166" i="3"/>
  <c r="AI166" i="3"/>
  <c r="AH166" i="3"/>
  <c r="AG166" i="3"/>
  <c r="AF166" i="3"/>
  <c r="AL165" i="3"/>
  <c r="AK165" i="3"/>
  <c r="AJ165" i="3"/>
  <c r="AI165" i="3"/>
  <c r="AH165" i="3"/>
  <c r="AG165" i="3"/>
  <c r="AF165" i="3"/>
  <c r="AL164" i="3"/>
  <c r="AK164" i="3"/>
  <c r="AJ164" i="3"/>
  <c r="AI164" i="3"/>
  <c r="AH164" i="3"/>
  <c r="AG164" i="3"/>
  <c r="AF164" i="3"/>
  <c r="AL163" i="3"/>
  <c r="AK163" i="3"/>
  <c r="AJ163" i="3"/>
  <c r="AI163" i="3"/>
  <c r="AH163" i="3"/>
  <c r="AG163" i="3"/>
  <c r="AF163" i="3"/>
  <c r="AL162" i="3"/>
  <c r="AK162" i="3"/>
  <c r="AJ162" i="3"/>
  <c r="AI162" i="3"/>
  <c r="AH162" i="3"/>
  <c r="AG162" i="3"/>
  <c r="AF162" i="3"/>
  <c r="AL161" i="3"/>
  <c r="AK161" i="3"/>
  <c r="AJ161" i="3"/>
  <c r="AI161" i="3"/>
  <c r="AH161" i="3"/>
  <c r="AG161" i="3"/>
  <c r="AF161" i="3"/>
  <c r="AL160" i="3"/>
  <c r="AK160" i="3"/>
  <c r="AJ160" i="3"/>
  <c r="AI160" i="3"/>
  <c r="AH160" i="3"/>
  <c r="AG160" i="3"/>
  <c r="AF160" i="3"/>
  <c r="AL159" i="3"/>
  <c r="AK159" i="3"/>
  <c r="AJ159" i="3"/>
  <c r="AI159" i="3"/>
  <c r="AH159" i="3"/>
  <c r="AG159" i="3"/>
  <c r="AF159" i="3"/>
  <c r="AL158" i="3"/>
  <c r="AK158" i="3"/>
  <c r="AJ158" i="3"/>
  <c r="AI158" i="3"/>
  <c r="AH158" i="3"/>
  <c r="AG158" i="3"/>
  <c r="AF158" i="3"/>
  <c r="AL157" i="3"/>
  <c r="AK157" i="3"/>
  <c r="AJ157" i="3"/>
  <c r="AI157" i="3"/>
  <c r="AH157" i="3"/>
  <c r="AG157" i="3"/>
  <c r="AF157" i="3"/>
  <c r="AL156" i="3"/>
  <c r="AK156" i="3"/>
  <c r="AJ156" i="3"/>
  <c r="AI156" i="3"/>
  <c r="AH156" i="3"/>
  <c r="AG156" i="3"/>
  <c r="AF156" i="3"/>
  <c r="AL155" i="3"/>
  <c r="AK155" i="3"/>
  <c r="AJ155" i="3"/>
  <c r="AI155" i="3"/>
  <c r="AH155" i="3"/>
  <c r="AG155" i="3"/>
  <c r="AF155" i="3"/>
  <c r="AL154" i="3"/>
  <c r="AK154" i="3"/>
  <c r="AJ154" i="3"/>
  <c r="AI154" i="3"/>
  <c r="AH154" i="3"/>
  <c r="AG154" i="3"/>
  <c r="AF154" i="3"/>
  <c r="AL153" i="3"/>
  <c r="AK153" i="3"/>
  <c r="AJ153" i="3"/>
  <c r="AI153" i="3"/>
  <c r="AH153" i="3"/>
  <c r="AG153" i="3"/>
  <c r="AF153" i="3"/>
  <c r="AL152" i="3"/>
  <c r="AK152" i="3"/>
  <c r="AJ152" i="3"/>
  <c r="AI152" i="3"/>
  <c r="AH152" i="3"/>
  <c r="AG152" i="3"/>
  <c r="AF152" i="3"/>
  <c r="AL151" i="3"/>
  <c r="AK151" i="3"/>
  <c r="AJ151" i="3"/>
  <c r="AI151" i="3"/>
  <c r="AH151" i="3"/>
  <c r="AG151" i="3"/>
  <c r="AF151" i="3"/>
  <c r="AL150" i="3"/>
  <c r="AK150" i="3"/>
  <c r="AJ150" i="3"/>
  <c r="AI150" i="3"/>
  <c r="AH150" i="3"/>
  <c r="AG150" i="3"/>
  <c r="AF150" i="3"/>
  <c r="AL149" i="3"/>
  <c r="AK149" i="3"/>
  <c r="AJ149" i="3"/>
  <c r="AI149" i="3"/>
  <c r="AH149" i="3"/>
  <c r="AG149" i="3"/>
  <c r="AF149" i="3"/>
  <c r="AL148" i="3"/>
  <c r="AK148" i="3"/>
  <c r="AJ148" i="3"/>
  <c r="AI148" i="3"/>
  <c r="AH148" i="3"/>
  <c r="AG148" i="3"/>
  <c r="AF148" i="3"/>
  <c r="AL147" i="3"/>
  <c r="AK147" i="3"/>
  <c r="AJ147" i="3"/>
  <c r="AI147" i="3"/>
  <c r="AH147" i="3"/>
  <c r="AG147" i="3"/>
  <c r="AF147" i="3"/>
  <c r="AL146" i="3"/>
  <c r="AK146" i="3"/>
  <c r="AJ146" i="3"/>
  <c r="AI146" i="3"/>
  <c r="AH146" i="3"/>
  <c r="AG146" i="3"/>
  <c r="AF146" i="3"/>
  <c r="AL145" i="3"/>
  <c r="AK145" i="3"/>
  <c r="AJ145" i="3"/>
  <c r="AI145" i="3"/>
  <c r="AH145" i="3"/>
  <c r="AG145" i="3"/>
  <c r="AF145" i="3"/>
  <c r="AL144" i="3"/>
  <c r="AK144" i="3"/>
  <c r="AJ144" i="3"/>
  <c r="AI144" i="3"/>
  <c r="AH144" i="3"/>
  <c r="AG144" i="3"/>
  <c r="AF144" i="3"/>
  <c r="AL143" i="3"/>
  <c r="AK143" i="3"/>
  <c r="AJ143" i="3"/>
  <c r="AI143" i="3"/>
  <c r="AH143" i="3"/>
  <c r="AG143" i="3"/>
  <c r="AF143" i="3"/>
  <c r="AL142" i="3"/>
  <c r="AK142" i="3"/>
  <c r="AJ142" i="3"/>
  <c r="AI142" i="3"/>
  <c r="AH142" i="3"/>
  <c r="AG142" i="3"/>
  <c r="AF142" i="3"/>
  <c r="AL141" i="3"/>
  <c r="AK141" i="3"/>
  <c r="AJ141" i="3"/>
  <c r="AI141" i="3"/>
  <c r="AH141" i="3"/>
  <c r="AG141" i="3"/>
  <c r="AF141" i="3"/>
  <c r="AL140" i="3"/>
  <c r="AK140" i="3"/>
  <c r="AJ140" i="3"/>
  <c r="AI140" i="3"/>
  <c r="AH140" i="3"/>
  <c r="AG140" i="3"/>
  <c r="AF140" i="3"/>
  <c r="AL139" i="3"/>
  <c r="AK139" i="3"/>
  <c r="AJ139" i="3"/>
  <c r="AI139" i="3"/>
  <c r="AH139" i="3"/>
  <c r="AG139" i="3"/>
  <c r="AF139" i="3"/>
  <c r="AL138" i="3"/>
  <c r="AK138" i="3"/>
  <c r="AJ138" i="3"/>
  <c r="AI138" i="3"/>
  <c r="AH138" i="3"/>
  <c r="AG138" i="3"/>
  <c r="AF138" i="3"/>
  <c r="AL137" i="3"/>
  <c r="AK137" i="3"/>
  <c r="AJ137" i="3"/>
  <c r="AI137" i="3"/>
  <c r="AH137" i="3"/>
  <c r="AG137" i="3"/>
  <c r="AF137" i="3"/>
  <c r="AL136" i="3"/>
  <c r="AK136" i="3"/>
  <c r="AJ136" i="3"/>
  <c r="AI136" i="3"/>
  <c r="AH136" i="3"/>
  <c r="AG136" i="3"/>
  <c r="AF136" i="3"/>
  <c r="AL135" i="3"/>
  <c r="AK135" i="3"/>
  <c r="AJ135" i="3"/>
  <c r="AI135" i="3"/>
  <c r="AH135" i="3"/>
  <c r="AG135" i="3"/>
  <c r="AF135" i="3"/>
  <c r="AL134" i="3"/>
  <c r="AK134" i="3"/>
  <c r="AJ134" i="3"/>
  <c r="AI134" i="3"/>
  <c r="AH134" i="3"/>
  <c r="AG134" i="3"/>
  <c r="AF134" i="3"/>
  <c r="AL133" i="3"/>
  <c r="AK133" i="3"/>
  <c r="AJ133" i="3"/>
  <c r="AI133" i="3"/>
  <c r="AH133" i="3"/>
  <c r="AG133" i="3"/>
  <c r="AF133" i="3"/>
  <c r="AL132" i="3"/>
  <c r="AK132" i="3"/>
  <c r="AJ132" i="3"/>
  <c r="AI132" i="3"/>
  <c r="AH132" i="3"/>
  <c r="AG132" i="3"/>
  <c r="AF132" i="3"/>
  <c r="AL131" i="3"/>
  <c r="AK131" i="3"/>
  <c r="AJ131" i="3"/>
  <c r="AI131" i="3"/>
  <c r="AH131" i="3"/>
  <c r="AG131" i="3"/>
  <c r="AF131" i="3"/>
  <c r="AL130" i="3"/>
  <c r="AK130" i="3"/>
  <c r="AJ130" i="3"/>
  <c r="AI130" i="3"/>
  <c r="AH130" i="3"/>
  <c r="AG130" i="3"/>
  <c r="AF130" i="3"/>
  <c r="AL129" i="3"/>
  <c r="AK129" i="3"/>
  <c r="AJ129" i="3"/>
  <c r="AI129" i="3"/>
  <c r="AH129" i="3"/>
  <c r="AG129" i="3"/>
  <c r="AF129" i="3"/>
  <c r="AL128" i="3"/>
  <c r="AK128" i="3"/>
  <c r="AJ128" i="3"/>
  <c r="AI128" i="3"/>
  <c r="AH128" i="3"/>
  <c r="AG128" i="3"/>
  <c r="AF128" i="3"/>
  <c r="AL127" i="3"/>
  <c r="AK127" i="3"/>
  <c r="AJ127" i="3"/>
  <c r="AI127" i="3"/>
  <c r="AH127" i="3"/>
  <c r="AG127" i="3"/>
  <c r="AF127" i="3"/>
  <c r="AL126" i="3"/>
  <c r="AK126" i="3"/>
  <c r="AJ126" i="3"/>
  <c r="AI126" i="3"/>
  <c r="AH126" i="3"/>
  <c r="AG126" i="3"/>
  <c r="AF126" i="3"/>
  <c r="AL125" i="3"/>
  <c r="AK125" i="3"/>
  <c r="AJ125" i="3"/>
  <c r="AI125" i="3"/>
  <c r="AH125" i="3"/>
  <c r="AG125" i="3"/>
  <c r="AF125" i="3"/>
  <c r="AL124" i="3"/>
  <c r="AK124" i="3"/>
  <c r="AJ124" i="3"/>
  <c r="AI124" i="3"/>
  <c r="AH124" i="3"/>
  <c r="AG124" i="3"/>
  <c r="AF124" i="3"/>
  <c r="AL123" i="3"/>
  <c r="AK123" i="3"/>
  <c r="AJ123" i="3"/>
  <c r="AI123" i="3"/>
  <c r="AH123" i="3"/>
  <c r="AG123" i="3"/>
  <c r="AF123" i="3"/>
  <c r="AL122" i="3"/>
  <c r="AK122" i="3"/>
  <c r="AJ122" i="3"/>
  <c r="AI122" i="3"/>
  <c r="AH122" i="3"/>
  <c r="AG122" i="3"/>
  <c r="AF122" i="3"/>
  <c r="AL121" i="3"/>
  <c r="AK121" i="3"/>
  <c r="AJ121" i="3"/>
  <c r="AI121" i="3"/>
  <c r="AH121" i="3"/>
  <c r="AG121" i="3"/>
  <c r="AF121" i="3"/>
  <c r="AL120" i="3"/>
  <c r="AK120" i="3"/>
  <c r="AJ120" i="3"/>
  <c r="AI120" i="3"/>
  <c r="AH120" i="3"/>
  <c r="AG120" i="3"/>
  <c r="AF120" i="3"/>
  <c r="AL119" i="3"/>
  <c r="AK119" i="3"/>
  <c r="AJ119" i="3"/>
  <c r="AI119" i="3"/>
  <c r="AH119" i="3"/>
  <c r="AG119" i="3"/>
  <c r="AF119" i="3"/>
  <c r="AL118" i="3"/>
  <c r="AK118" i="3"/>
  <c r="AJ118" i="3"/>
  <c r="AI118" i="3"/>
  <c r="AH118" i="3"/>
  <c r="AG118" i="3"/>
  <c r="AF118" i="3"/>
  <c r="AL117" i="3"/>
  <c r="AK117" i="3"/>
  <c r="AJ117" i="3"/>
  <c r="AI117" i="3"/>
  <c r="AH117" i="3"/>
  <c r="AG117" i="3"/>
  <c r="AF117" i="3"/>
  <c r="AL116" i="3"/>
  <c r="AK116" i="3"/>
  <c r="AJ116" i="3"/>
  <c r="AI116" i="3"/>
  <c r="AH116" i="3"/>
  <c r="AG116" i="3"/>
  <c r="AF116" i="3"/>
  <c r="AL115" i="3"/>
  <c r="AK115" i="3"/>
  <c r="AJ115" i="3"/>
  <c r="AI115" i="3"/>
  <c r="AH115" i="3"/>
  <c r="AG115" i="3"/>
  <c r="AF115" i="3"/>
  <c r="AL114" i="3"/>
  <c r="AK114" i="3"/>
  <c r="AJ114" i="3"/>
  <c r="AI114" i="3"/>
  <c r="AH114" i="3"/>
  <c r="AG114" i="3"/>
  <c r="AF114" i="3"/>
  <c r="AL113" i="3"/>
  <c r="AK113" i="3"/>
  <c r="AJ113" i="3"/>
  <c r="AI113" i="3"/>
  <c r="AH113" i="3"/>
  <c r="AG113" i="3"/>
  <c r="AF113" i="3"/>
  <c r="AL112" i="3"/>
  <c r="AK112" i="3"/>
  <c r="AJ112" i="3"/>
  <c r="AI112" i="3"/>
  <c r="AH112" i="3"/>
  <c r="AG112" i="3"/>
  <c r="AF112" i="3"/>
  <c r="AL111" i="3"/>
  <c r="AK111" i="3"/>
  <c r="AJ111" i="3"/>
  <c r="AI111" i="3"/>
  <c r="AH111" i="3"/>
  <c r="AG111" i="3"/>
  <c r="AF111" i="3"/>
  <c r="AL110" i="3"/>
  <c r="AK110" i="3"/>
  <c r="AJ110" i="3"/>
  <c r="AI110" i="3"/>
  <c r="AH110" i="3"/>
  <c r="AG110" i="3"/>
  <c r="AF110" i="3"/>
  <c r="AL109" i="3"/>
  <c r="AK109" i="3"/>
  <c r="AJ109" i="3"/>
  <c r="AI109" i="3"/>
  <c r="AH109" i="3"/>
  <c r="AG109" i="3"/>
  <c r="AF109" i="3"/>
  <c r="AL108" i="3"/>
  <c r="AK108" i="3"/>
  <c r="AJ108" i="3"/>
  <c r="AI108" i="3"/>
  <c r="AH108" i="3"/>
  <c r="AG108" i="3"/>
  <c r="AF108" i="3"/>
  <c r="AL107" i="3"/>
  <c r="AK107" i="3"/>
  <c r="AJ107" i="3"/>
  <c r="AI107" i="3"/>
  <c r="AH107" i="3"/>
  <c r="AG107" i="3"/>
  <c r="AF107" i="3"/>
  <c r="AL106" i="3"/>
  <c r="AK106" i="3"/>
  <c r="AJ106" i="3"/>
  <c r="AI106" i="3"/>
  <c r="AH106" i="3"/>
  <c r="AG106" i="3"/>
  <c r="AF106" i="3"/>
  <c r="AL105" i="3"/>
  <c r="AK105" i="3"/>
  <c r="AJ105" i="3"/>
  <c r="AI105" i="3"/>
  <c r="AH105" i="3"/>
  <c r="AG105" i="3"/>
  <c r="AF105" i="3"/>
  <c r="AL104" i="3"/>
  <c r="AK104" i="3"/>
  <c r="AJ104" i="3"/>
  <c r="AI104" i="3"/>
  <c r="AH104" i="3"/>
  <c r="AG104" i="3"/>
  <c r="AF104" i="3"/>
  <c r="AL103" i="3"/>
  <c r="AK103" i="3"/>
  <c r="AJ103" i="3"/>
  <c r="AI103" i="3"/>
  <c r="AH103" i="3"/>
  <c r="AG103" i="3"/>
  <c r="AF103" i="3"/>
  <c r="AL102" i="3"/>
  <c r="AK102" i="3"/>
  <c r="AJ102" i="3"/>
  <c r="AI102" i="3"/>
  <c r="AH102" i="3"/>
  <c r="AG102" i="3"/>
  <c r="AF102" i="3"/>
  <c r="AL101" i="3"/>
  <c r="AK101" i="3"/>
  <c r="AJ101" i="3"/>
  <c r="AI101" i="3"/>
  <c r="AH101" i="3"/>
  <c r="AG101" i="3"/>
  <c r="AF101" i="3"/>
  <c r="AL100" i="3"/>
  <c r="AK100" i="3"/>
  <c r="AJ100" i="3"/>
  <c r="AI100" i="3"/>
  <c r="AH100" i="3"/>
  <c r="AG100" i="3"/>
  <c r="AF100" i="3"/>
  <c r="AL99" i="3"/>
  <c r="AK99" i="3"/>
  <c r="AJ99" i="3"/>
  <c r="AI99" i="3"/>
  <c r="AH99" i="3"/>
  <c r="AG99" i="3"/>
  <c r="AF99" i="3"/>
  <c r="AL98" i="3"/>
  <c r="AK98" i="3"/>
  <c r="AJ98" i="3"/>
  <c r="AI98" i="3"/>
  <c r="AH98" i="3"/>
  <c r="AG98" i="3"/>
  <c r="AF98" i="3"/>
  <c r="AL97" i="3"/>
  <c r="AK97" i="3"/>
  <c r="AJ97" i="3"/>
  <c r="AI97" i="3"/>
  <c r="AH97" i="3"/>
  <c r="AG97" i="3"/>
  <c r="AF97" i="3"/>
  <c r="AL96" i="3"/>
  <c r="AK96" i="3"/>
  <c r="AJ96" i="3"/>
  <c r="AI96" i="3"/>
  <c r="AH96" i="3"/>
  <c r="AG96" i="3"/>
  <c r="AF96" i="3"/>
  <c r="AL95" i="3"/>
  <c r="AK95" i="3"/>
  <c r="AJ95" i="3"/>
  <c r="AI95" i="3"/>
  <c r="AH95" i="3"/>
  <c r="AG95" i="3"/>
  <c r="AF95" i="3"/>
  <c r="AL94" i="3"/>
  <c r="AK94" i="3"/>
  <c r="AJ94" i="3"/>
  <c r="AI94" i="3"/>
  <c r="AH94" i="3"/>
  <c r="AG94" i="3"/>
  <c r="AF94" i="3"/>
  <c r="AL93" i="3"/>
  <c r="AK93" i="3"/>
  <c r="AJ93" i="3"/>
  <c r="AI93" i="3"/>
  <c r="AH93" i="3"/>
  <c r="AG93" i="3"/>
  <c r="AF93" i="3"/>
  <c r="AL92" i="3"/>
  <c r="AK92" i="3"/>
  <c r="AJ92" i="3"/>
  <c r="AI92" i="3"/>
  <c r="AH92" i="3"/>
  <c r="AG92" i="3"/>
  <c r="AF92" i="3"/>
  <c r="AL91" i="3"/>
  <c r="AK91" i="3"/>
  <c r="AJ91" i="3"/>
  <c r="AI91" i="3"/>
  <c r="AH91" i="3"/>
  <c r="AG91" i="3"/>
  <c r="AF91" i="3"/>
  <c r="AL90" i="3"/>
  <c r="AK90" i="3"/>
  <c r="AJ90" i="3"/>
  <c r="AI90" i="3"/>
  <c r="AH90" i="3"/>
  <c r="AG90" i="3"/>
  <c r="AF90" i="3"/>
  <c r="AL89" i="3"/>
  <c r="AK89" i="3"/>
  <c r="AJ89" i="3"/>
  <c r="AI89" i="3"/>
  <c r="AH89" i="3"/>
  <c r="AG89" i="3"/>
  <c r="AF89" i="3"/>
  <c r="AL88" i="3"/>
  <c r="AK88" i="3"/>
  <c r="AJ88" i="3"/>
  <c r="AI88" i="3"/>
  <c r="AH88" i="3"/>
  <c r="AG88" i="3"/>
  <c r="AF88" i="3"/>
  <c r="AL87" i="3"/>
  <c r="AK87" i="3"/>
  <c r="AJ87" i="3"/>
  <c r="AI87" i="3"/>
  <c r="AH87" i="3"/>
  <c r="AG87" i="3"/>
  <c r="AF87" i="3"/>
  <c r="AL86" i="3"/>
  <c r="AK86" i="3"/>
  <c r="AJ86" i="3"/>
  <c r="AI86" i="3"/>
  <c r="AH86" i="3"/>
  <c r="AG86" i="3"/>
  <c r="AF86" i="3"/>
  <c r="AL85" i="3"/>
  <c r="AK85" i="3"/>
  <c r="AJ85" i="3"/>
  <c r="AI85" i="3"/>
  <c r="AH85" i="3"/>
  <c r="AG85" i="3"/>
  <c r="AF85" i="3"/>
  <c r="AL84" i="3"/>
  <c r="AK84" i="3"/>
  <c r="AJ84" i="3"/>
  <c r="AI84" i="3"/>
  <c r="AH84" i="3"/>
  <c r="AG84" i="3"/>
  <c r="AF84" i="3"/>
  <c r="AL83" i="3"/>
  <c r="AK83" i="3"/>
  <c r="AJ83" i="3"/>
  <c r="AI83" i="3"/>
  <c r="AH83" i="3"/>
  <c r="AG83" i="3"/>
  <c r="AF83" i="3"/>
  <c r="AL82" i="3"/>
  <c r="AK82" i="3"/>
  <c r="AJ82" i="3"/>
  <c r="AI82" i="3"/>
  <c r="AH82" i="3"/>
  <c r="AG82" i="3"/>
  <c r="AF82" i="3"/>
  <c r="AL81" i="3"/>
  <c r="AK81" i="3"/>
  <c r="AJ81" i="3"/>
  <c r="AI81" i="3"/>
  <c r="AH81" i="3"/>
  <c r="AG81" i="3"/>
  <c r="AF81" i="3"/>
  <c r="AL80" i="3"/>
  <c r="AK80" i="3"/>
  <c r="AJ80" i="3"/>
  <c r="AI80" i="3"/>
  <c r="AH80" i="3"/>
  <c r="AG80" i="3"/>
  <c r="AF80" i="3"/>
  <c r="AL79" i="3"/>
  <c r="AK79" i="3"/>
  <c r="AJ79" i="3"/>
  <c r="AI79" i="3"/>
  <c r="AH79" i="3"/>
  <c r="AG79" i="3"/>
  <c r="AF79" i="3"/>
  <c r="AL78" i="3"/>
  <c r="AK78" i="3"/>
  <c r="AJ78" i="3"/>
  <c r="AI78" i="3"/>
  <c r="AH78" i="3"/>
  <c r="AG78" i="3"/>
  <c r="AF78" i="3"/>
  <c r="AL77" i="3"/>
  <c r="AK77" i="3"/>
  <c r="AJ77" i="3"/>
  <c r="AI77" i="3"/>
  <c r="AH77" i="3"/>
  <c r="AG77" i="3"/>
  <c r="AF77" i="3"/>
  <c r="AL76" i="3"/>
  <c r="AK76" i="3"/>
  <c r="AJ76" i="3"/>
  <c r="AI76" i="3"/>
  <c r="AH76" i="3"/>
  <c r="AG76" i="3"/>
  <c r="AF76" i="3"/>
  <c r="AL75" i="3"/>
  <c r="AK75" i="3"/>
  <c r="AJ75" i="3"/>
  <c r="AI75" i="3"/>
  <c r="AH75" i="3"/>
  <c r="AG75" i="3"/>
  <c r="AF75" i="3"/>
  <c r="AL74" i="3"/>
  <c r="AK74" i="3"/>
  <c r="AJ74" i="3"/>
  <c r="AI74" i="3"/>
  <c r="AH74" i="3"/>
  <c r="AG74" i="3"/>
  <c r="AF74" i="3"/>
  <c r="AL73" i="3"/>
  <c r="AK73" i="3"/>
  <c r="AJ73" i="3"/>
  <c r="AI73" i="3"/>
  <c r="AH73" i="3"/>
  <c r="AG73" i="3"/>
  <c r="AF73" i="3"/>
  <c r="AL72" i="3"/>
  <c r="AK72" i="3"/>
  <c r="AJ72" i="3"/>
  <c r="AI72" i="3"/>
  <c r="AH72" i="3"/>
  <c r="AG72" i="3"/>
  <c r="AF72" i="3"/>
  <c r="AL71" i="3"/>
  <c r="AK71" i="3"/>
  <c r="AJ71" i="3"/>
  <c r="AI71" i="3"/>
  <c r="AH71" i="3"/>
  <c r="AG71" i="3"/>
  <c r="AF71" i="3"/>
  <c r="AL70" i="3"/>
  <c r="AK70" i="3"/>
  <c r="AJ70" i="3"/>
  <c r="AI70" i="3"/>
  <c r="AH70" i="3"/>
  <c r="AG70" i="3"/>
  <c r="AF70" i="3"/>
  <c r="AL69" i="3"/>
  <c r="AK69" i="3"/>
  <c r="AJ69" i="3"/>
  <c r="AI69" i="3"/>
  <c r="AH69" i="3"/>
  <c r="AG69" i="3"/>
  <c r="AF69" i="3"/>
  <c r="AL68" i="3"/>
  <c r="AK68" i="3"/>
  <c r="AJ68" i="3"/>
  <c r="AI68" i="3"/>
  <c r="AH68" i="3"/>
  <c r="AG68" i="3"/>
  <c r="AF68" i="3"/>
  <c r="AL67" i="3"/>
  <c r="AK67" i="3"/>
  <c r="AJ67" i="3"/>
  <c r="AI67" i="3"/>
  <c r="AH67" i="3"/>
  <c r="AG67" i="3"/>
  <c r="AF67" i="3"/>
  <c r="AL66" i="3"/>
  <c r="AK66" i="3"/>
  <c r="AJ66" i="3"/>
  <c r="AI66" i="3"/>
  <c r="AH66" i="3"/>
  <c r="AG66" i="3"/>
  <c r="AF66" i="3"/>
  <c r="AL65" i="3"/>
  <c r="AK65" i="3"/>
  <c r="AJ65" i="3"/>
  <c r="AI65" i="3"/>
  <c r="AH65" i="3"/>
  <c r="AG65" i="3"/>
  <c r="AF65" i="3"/>
  <c r="AL64" i="3"/>
  <c r="AK64" i="3"/>
  <c r="AJ64" i="3"/>
  <c r="AI64" i="3"/>
  <c r="AH64" i="3"/>
  <c r="AG64" i="3"/>
  <c r="AF64" i="3"/>
  <c r="AL63" i="3"/>
  <c r="AK63" i="3"/>
  <c r="AJ63" i="3"/>
  <c r="AI63" i="3"/>
  <c r="AH63" i="3"/>
  <c r="AG63" i="3"/>
  <c r="AF63" i="3"/>
  <c r="AL62" i="3"/>
  <c r="AK62" i="3"/>
  <c r="AJ62" i="3"/>
  <c r="AI62" i="3"/>
  <c r="AH62" i="3"/>
  <c r="AG62" i="3"/>
  <c r="AF62" i="3"/>
  <c r="AL61" i="3"/>
  <c r="AK61" i="3"/>
  <c r="AJ61" i="3"/>
  <c r="AI61" i="3"/>
  <c r="AH61" i="3"/>
  <c r="AG61" i="3"/>
  <c r="AF61" i="3"/>
  <c r="AL60" i="3"/>
  <c r="AK60" i="3"/>
  <c r="AJ60" i="3"/>
  <c r="AI60" i="3"/>
  <c r="AH60" i="3"/>
  <c r="AG60" i="3"/>
  <c r="AF60" i="3"/>
  <c r="AL59" i="3"/>
  <c r="AK59" i="3"/>
  <c r="AJ59" i="3"/>
  <c r="AI59" i="3"/>
  <c r="AH59" i="3"/>
  <c r="AG59" i="3"/>
  <c r="AF59" i="3"/>
  <c r="AL58" i="3"/>
  <c r="AK58" i="3"/>
  <c r="AJ58" i="3"/>
  <c r="AI58" i="3"/>
  <c r="AH58" i="3"/>
  <c r="AG58" i="3"/>
  <c r="AF58" i="3"/>
  <c r="AL57" i="3"/>
  <c r="AK57" i="3"/>
  <c r="AJ57" i="3"/>
  <c r="AI57" i="3"/>
  <c r="AH57" i="3"/>
  <c r="AG57" i="3"/>
  <c r="AF57" i="3"/>
  <c r="AL56" i="3"/>
  <c r="AK56" i="3"/>
  <c r="AJ56" i="3"/>
  <c r="AI56" i="3"/>
  <c r="AH56" i="3"/>
  <c r="AG56" i="3"/>
  <c r="AF56" i="3"/>
  <c r="AL55" i="3"/>
  <c r="AK55" i="3"/>
  <c r="AJ55" i="3"/>
  <c r="AI55" i="3"/>
  <c r="AH55" i="3"/>
  <c r="AG55" i="3"/>
  <c r="AF55" i="3"/>
  <c r="AL54" i="3"/>
  <c r="AK54" i="3"/>
  <c r="AJ54" i="3"/>
  <c r="AI54" i="3"/>
  <c r="AH54" i="3"/>
  <c r="AG54" i="3"/>
  <c r="AF54" i="3"/>
  <c r="AL53" i="3"/>
  <c r="AK53" i="3"/>
  <c r="AJ53" i="3"/>
  <c r="AI53" i="3"/>
  <c r="AH53" i="3"/>
  <c r="AG53" i="3"/>
  <c r="AF53" i="3"/>
  <c r="AL52" i="3"/>
  <c r="AK52" i="3"/>
  <c r="AJ52" i="3"/>
  <c r="AI52" i="3"/>
  <c r="AH52" i="3"/>
  <c r="AG52" i="3"/>
  <c r="AF52" i="3"/>
  <c r="AL51" i="3"/>
  <c r="AK51" i="3"/>
  <c r="AJ51" i="3"/>
  <c r="AI51" i="3"/>
  <c r="AH51" i="3"/>
  <c r="AG51" i="3"/>
  <c r="AF51" i="3"/>
  <c r="AL50" i="3"/>
  <c r="AK50" i="3"/>
  <c r="AJ50" i="3"/>
  <c r="AI50" i="3"/>
  <c r="AH50" i="3"/>
  <c r="AG50" i="3"/>
  <c r="AF50" i="3"/>
  <c r="AL49" i="3"/>
  <c r="AK49" i="3"/>
  <c r="AJ49" i="3"/>
  <c r="AI49" i="3"/>
  <c r="AH49" i="3"/>
  <c r="AG49" i="3"/>
  <c r="AF49" i="3"/>
  <c r="AL48" i="3"/>
  <c r="AK48" i="3"/>
  <c r="AJ48" i="3"/>
  <c r="AI48" i="3"/>
  <c r="AH48" i="3"/>
  <c r="AG48" i="3"/>
  <c r="AF48" i="3"/>
  <c r="AL47" i="3"/>
  <c r="AK47" i="3"/>
  <c r="AJ47" i="3"/>
  <c r="AI47" i="3"/>
  <c r="AH47" i="3"/>
  <c r="AG47" i="3"/>
  <c r="AF47" i="3"/>
  <c r="AL46" i="3"/>
  <c r="AK46" i="3"/>
  <c r="AJ46" i="3"/>
  <c r="AI46" i="3"/>
  <c r="AH46" i="3"/>
  <c r="AG46" i="3"/>
  <c r="AF46" i="3"/>
  <c r="AL45" i="3"/>
  <c r="AK45" i="3"/>
  <c r="AJ45" i="3"/>
  <c r="AI45" i="3"/>
  <c r="AH45" i="3"/>
  <c r="AG45" i="3"/>
  <c r="AF45" i="3"/>
  <c r="AL44" i="3"/>
  <c r="AK44" i="3"/>
  <c r="AJ44" i="3"/>
  <c r="AI44" i="3"/>
  <c r="AH44" i="3"/>
  <c r="AG44" i="3"/>
  <c r="AF44" i="3"/>
  <c r="AL43" i="3"/>
  <c r="AK43" i="3"/>
  <c r="AJ43" i="3"/>
  <c r="AI43" i="3"/>
  <c r="AH43" i="3"/>
  <c r="AG43" i="3"/>
  <c r="AF43" i="3"/>
  <c r="AL42" i="3"/>
  <c r="AK42" i="3"/>
  <c r="AJ42" i="3"/>
  <c r="AI42" i="3"/>
  <c r="AH42" i="3"/>
  <c r="AG42" i="3"/>
  <c r="AF42" i="3"/>
  <c r="AL41" i="3"/>
  <c r="AK41" i="3"/>
  <c r="AJ41" i="3"/>
  <c r="AI41" i="3"/>
  <c r="AH41" i="3"/>
  <c r="AG41" i="3"/>
  <c r="AF41" i="3"/>
  <c r="AL40" i="3"/>
  <c r="AK40" i="3"/>
  <c r="AJ40" i="3"/>
  <c r="AI40" i="3"/>
  <c r="AH40" i="3"/>
  <c r="AG40" i="3"/>
  <c r="AF40" i="3"/>
  <c r="AL39" i="3"/>
  <c r="AK39" i="3"/>
  <c r="AJ39" i="3"/>
  <c r="AI39" i="3"/>
  <c r="AH39" i="3"/>
  <c r="AG39" i="3"/>
  <c r="AF39" i="3"/>
  <c r="AL38" i="3"/>
  <c r="AK38" i="3"/>
  <c r="AJ38" i="3"/>
  <c r="AI38" i="3"/>
  <c r="AH38" i="3"/>
  <c r="AG38" i="3"/>
  <c r="AF38" i="3"/>
  <c r="AL37" i="3"/>
  <c r="AK37" i="3"/>
  <c r="AJ37" i="3"/>
  <c r="AI37" i="3"/>
  <c r="AH37" i="3"/>
  <c r="AG37" i="3"/>
  <c r="AF37" i="3"/>
  <c r="AL36" i="3"/>
  <c r="AK36" i="3"/>
  <c r="AJ36" i="3"/>
  <c r="AI36" i="3"/>
  <c r="AH36" i="3"/>
  <c r="AG36" i="3"/>
  <c r="AF36" i="3"/>
  <c r="AL35" i="3"/>
  <c r="AK35" i="3"/>
  <c r="AJ35" i="3"/>
  <c r="AI35" i="3"/>
  <c r="AH35" i="3"/>
  <c r="AG35" i="3"/>
  <c r="AF35" i="3"/>
  <c r="AL34" i="3"/>
  <c r="AK34" i="3"/>
  <c r="AJ34" i="3"/>
  <c r="AI34" i="3"/>
  <c r="AH34" i="3"/>
  <c r="AG34" i="3"/>
  <c r="AF34" i="3"/>
  <c r="AL33" i="3"/>
  <c r="AK33" i="3"/>
  <c r="AJ33" i="3"/>
  <c r="AI33" i="3"/>
  <c r="AH33" i="3"/>
  <c r="AG33" i="3"/>
  <c r="AF33" i="3"/>
  <c r="AL32" i="3"/>
  <c r="AK32" i="3"/>
  <c r="AJ32" i="3"/>
  <c r="AI32" i="3"/>
  <c r="AH32" i="3"/>
  <c r="AG32" i="3"/>
  <c r="AF32" i="3"/>
  <c r="AL31" i="3"/>
  <c r="AK31" i="3"/>
  <c r="AJ31" i="3"/>
  <c r="AI31" i="3"/>
  <c r="AH31" i="3"/>
  <c r="AG31" i="3"/>
  <c r="AF31" i="3"/>
  <c r="AL30" i="3"/>
  <c r="AK30" i="3"/>
  <c r="AJ30" i="3"/>
  <c r="AI30" i="3"/>
  <c r="AH30" i="3"/>
  <c r="AG30" i="3"/>
  <c r="AF30" i="3"/>
  <c r="AL29" i="3"/>
  <c r="AK29" i="3"/>
  <c r="AJ29" i="3"/>
  <c r="AI29" i="3"/>
  <c r="AH29" i="3"/>
  <c r="AG29" i="3"/>
  <c r="AF29" i="3"/>
  <c r="AL28" i="3"/>
  <c r="AK28" i="3"/>
  <c r="AJ28" i="3"/>
  <c r="AI28" i="3"/>
  <c r="AH28" i="3"/>
  <c r="AG28" i="3"/>
  <c r="AF28" i="3"/>
  <c r="AL27" i="3"/>
  <c r="AK27" i="3"/>
  <c r="AJ27" i="3"/>
  <c r="AI27" i="3"/>
  <c r="AH27" i="3"/>
  <c r="AG27" i="3"/>
  <c r="AF27" i="3"/>
  <c r="AL26" i="3"/>
  <c r="AK26" i="3"/>
  <c r="AJ26" i="3"/>
  <c r="AI26" i="3"/>
  <c r="AH26" i="3"/>
  <c r="AG26" i="3"/>
  <c r="AF26" i="3"/>
  <c r="AL25" i="3"/>
  <c r="AK25" i="3"/>
  <c r="AJ25" i="3"/>
  <c r="AI25" i="3"/>
  <c r="AH25" i="3"/>
  <c r="AG25" i="3"/>
  <c r="AF25" i="3"/>
  <c r="AL24" i="3"/>
  <c r="AK24" i="3"/>
  <c r="AJ24" i="3"/>
  <c r="AI24" i="3"/>
  <c r="AH24" i="3"/>
  <c r="AG24" i="3"/>
  <c r="AF24" i="3"/>
  <c r="AL23" i="3"/>
  <c r="AK23" i="3"/>
  <c r="AJ23" i="3"/>
  <c r="AI23" i="3"/>
  <c r="AH23" i="3"/>
  <c r="AG23" i="3"/>
  <c r="AF23" i="3"/>
  <c r="AL22" i="3"/>
  <c r="AK22" i="3"/>
  <c r="AJ22" i="3"/>
  <c r="AI22" i="3"/>
  <c r="AH22" i="3"/>
  <c r="AG22" i="3"/>
  <c r="AF22" i="3"/>
  <c r="AL21" i="3"/>
  <c r="AK21" i="3"/>
  <c r="AJ21" i="3"/>
  <c r="AI21" i="3"/>
  <c r="AH21" i="3"/>
  <c r="AG21" i="3"/>
  <c r="AF21" i="3"/>
  <c r="AL20" i="3"/>
  <c r="AK20" i="3"/>
  <c r="AJ20" i="3"/>
  <c r="AI20" i="3"/>
  <c r="AH20" i="3"/>
  <c r="AG20" i="3"/>
  <c r="AF20" i="3"/>
  <c r="AL19" i="3"/>
  <c r="AK19" i="3"/>
  <c r="AJ19" i="3"/>
  <c r="AI19" i="3"/>
  <c r="AH19" i="3"/>
  <c r="AG19" i="3"/>
  <c r="AF19" i="3"/>
  <c r="AL18" i="3"/>
  <c r="AK18" i="3"/>
  <c r="AJ18" i="3"/>
  <c r="AI18" i="3"/>
  <c r="AH18" i="3"/>
  <c r="AG18" i="3"/>
  <c r="AF18" i="3"/>
  <c r="AL17" i="3"/>
  <c r="AK17" i="3"/>
  <c r="AJ17" i="3"/>
  <c r="AI17" i="3"/>
  <c r="AH17" i="3"/>
  <c r="AG17" i="3"/>
  <c r="AF17" i="3"/>
  <c r="AL16" i="3"/>
  <c r="AK16" i="3"/>
  <c r="AJ16" i="3"/>
  <c r="AI16" i="3"/>
  <c r="AH16" i="3"/>
  <c r="AG16" i="3"/>
  <c r="AF16" i="3"/>
  <c r="AL15" i="3"/>
  <c r="AK15" i="3"/>
  <c r="AJ15" i="3"/>
  <c r="AI15" i="3"/>
  <c r="AH15" i="3"/>
  <c r="AG15" i="3"/>
  <c r="AF15" i="3"/>
  <c r="AL14" i="3"/>
  <c r="AK14" i="3"/>
  <c r="AJ14" i="3"/>
  <c r="AI14" i="3"/>
  <c r="AH14" i="3"/>
  <c r="AG14" i="3"/>
  <c r="AF14" i="3"/>
  <c r="AL13" i="3"/>
  <c r="AK13" i="3"/>
  <c r="AJ13" i="3"/>
  <c r="AI13" i="3"/>
  <c r="AH13" i="3"/>
  <c r="AG13" i="3"/>
  <c r="AF13" i="3"/>
  <c r="AL12" i="3"/>
  <c r="AK12" i="3"/>
  <c r="AJ12" i="3"/>
  <c r="AI12" i="3"/>
  <c r="AH12" i="3"/>
  <c r="AG12" i="3"/>
  <c r="AF12" i="3"/>
  <c r="AL11" i="3"/>
  <c r="AK11" i="3"/>
  <c r="AJ11" i="3"/>
  <c r="AI11" i="3"/>
  <c r="AH11" i="3"/>
  <c r="AG11" i="3"/>
  <c r="AF11" i="3"/>
  <c r="AL10" i="3"/>
  <c r="AK10" i="3"/>
  <c r="AJ10" i="3"/>
  <c r="AI10" i="3"/>
  <c r="AH10" i="3"/>
  <c r="AG10" i="3"/>
  <c r="AF10" i="3"/>
  <c r="AL9" i="3"/>
  <c r="AK9" i="3"/>
  <c r="AJ9" i="3"/>
  <c r="AI9" i="3"/>
  <c r="AH9" i="3"/>
  <c r="AG9" i="3"/>
  <c r="AF9" i="3"/>
  <c r="AL8" i="3"/>
  <c r="AK8" i="3"/>
  <c r="AJ8" i="3"/>
  <c r="AI8" i="3"/>
  <c r="AH8" i="3"/>
  <c r="AG8" i="3"/>
  <c r="AF8" i="3"/>
  <c r="AL7" i="3"/>
  <c r="AK7" i="3"/>
  <c r="AJ7" i="3"/>
  <c r="AI7" i="3"/>
  <c r="AH7" i="3"/>
  <c r="AG7" i="3"/>
  <c r="AF7" i="3"/>
  <c r="AL6" i="3"/>
  <c r="AK6" i="3"/>
  <c r="AJ6" i="3"/>
  <c r="AI6" i="3"/>
  <c r="AH6" i="3"/>
  <c r="AG6" i="3"/>
  <c r="AF6" i="3"/>
  <c r="AL5" i="3"/>
  <c r="AK5" i="3"/>
  <c r="AJ5" i="3"/>
  <c r="AI5" i="3"/>
  <c r="AH5" i="3"/>
  <c r="AG5" i="3"/>
  <c r="AF5" i="3"/>
  <c r="AL4" i="3"/>
  <c r="AK4" i="3"/>
  <c r="AJ4" i="3"/>
  <c r="AI4" i="3"/>
  <c r="AH4" i="3"/>
  <c r="AG4" i="3"/>
  <c r="AF4" i="3"/>
  <c r="AL3" i="3"/>
  <c r="AK3" i="3"/>
  <c r="AJ3" i="3"/>
  <c r="AI3" i="3"/>
  <c r="AH3" i="3"/>
  <c r="AG3" i="3"/>
  <c r="AF3" i="3"/>
  <c r="AL2" i="3"/>
  <c r="AK2" i="3"/>
  <c r="AJ2" i="3"/>
  <c r="AI2" i="3"/>
  <c r="AH2" i="3"/>
  <c r="AG2" i="3"/>
  <c r="AF2" i="3"/>
  <c r="AE2" i="3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2" i="1"/>
  <c r="B13" i="2" l="1" a="1"/>
  <c r="B13" i="2" s="1"/>
  <c r="B20" i="2" l="1"/>
  <c r="C12" i="2" s="1"/>
  <c r="C18" i="2" l="1"/>
  <c r="C19" i="2"/>
  <c r="C15" i="2"/>
  <c r="C16" i="2"/>
  <c r="C17" i="2"/>
  <c r="C13" i="2"/>
  <c r="C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<sst xmlns="http://schemas.openxmlformats.org/spreadsheetml/2006/main" count="2508" uniqueCount="138">
  <si>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</si>
  <si>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</si>
  <si>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</si>
  <si>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</si>
  <si>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</si>
  <si>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</si>
  <si>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</si>
  <si>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</si>
  <si>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</si>
  <si>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</si>
  <si>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</si>
  <si>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</si>
  <si>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</si>
  <si>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</si>
  <si>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</si>
  <si>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</si>
  <si>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</si>
  <si>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</si>
  <si>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</si>
  <si>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</si>
  <si>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</si>
  <si>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</si>
  <si>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</si>
  <si>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</si>
  <si>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</si>
  <si>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</si>
  <si>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</si>
  <si>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</si>
  <si>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</si>
  <si>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</si>
  <si>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</si>
  <si>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</si>
  <si>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</si>
  <si>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</si>
  <si>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</si>
  <si>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</si>
  <si>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</si>
  <si>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</si>
  <si>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</si>
  <si>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</si>
  <si>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</si>
  <si>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</si>
  <si>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</si>
  <si>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</si>
  <si>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</si>
  <si>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</si>
  <si>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</si>
  <si>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</si>
  <si>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</si>
  <si>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FOOD &amp; NON-ALCHOLIC BEVERAGES</t>
  </si>
  <si>
    <t>ALCOHOL,TOBACCO &amp; INTOXICANTS</t>
  </si>
  <si>
    <t>CLOTHING AND FOOTWEAR</t>
  </si>
  <si>
    <t>HOUSING,FUEL AND UTILITIES</t>
  </si>
  <si>
    <t>HEALTHCARE AND EDUCATION</t>
  </si>
  <si>
    <t>TRANSPORT &amp; COMMUNICATION</t>
  </si>
  <si>
    <t>RECREATION AND CULTURE</t>
  </si>
  <si>
    <t>MISCELLANEOUS</t>
  </si>
  <si>
    <t>SECTOR</t>
  </si>
  <si>
    <t>YEAR</t>
  </si>
  <si>
    <t>MONTH</t>
  </si>
  <si>
    <t>RURAL</t>
  </si>
  <si>
    <t>URBAN</t>
  </si>
  <si>
    <t>RURAL+URBAN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</si>
  <si>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</si>
  <si>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</si>
  <si>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</si>
  <si>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</si>
  <si>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</si>
  <si>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</si>
  <si>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</si>
  <si>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</si>
  <si>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</si>
  <si>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</si>
  <si>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</si>
  <si>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</si>
  <si>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Brodaer Category</t>
  </si>
  <si>
    <t>CPI Values</t>
  </si>
  <si>
    <t>% Contribution</t>
  </si>
  <si>
    <t>Total</t>
  </si>
  <si>
    <t>General Index</t>
  </si>
  <si>
    <t>Inflation Rate</t>
  </si>
  <si>
    <t>INFLATION</t>
  </si>
  <si>
    <t>total values of category</t>
  </si>
  <si>
    <t>Row Labels</t>
  </si>
  <si>
    <t>Grand Total</t>
  </si>
  <si>
    <t>Sum of Inflation Rate</t>
  </si>
  <si>
    <t>% of inflation changes</t>
  </si>
  <si>
    <t>Sum of % of inflation changes</t>
  </si>
  <si>
    <t>YOY % Rate Changes</t>
  </si>
  <si>
    <t>Sum of YOY % Rate Changes</t>
  </si>
  <si>
    <t>Essential Services</t>
  </si>
  <si>
    <t>Crude Oil Price (US$/bbl)</t>
  </si>
  <si>
    <t>MOM %</t>
  </si>
  <si>
    <t>MOM%</t>
  </si>
  <si>
    <r>
      <rPr>
        <b/>
        <i/>
        <u/>
        <sz val="14"/>
        <color rgb="FF00B050"/>
        <rFont val="Calibri"/>
        <family val="2"/>
        <scheme val="minor"/>
      </rPr>
      <t>Recommendation</t>
    </r>
    <r>
      <rPr>
        <b/>
        <sz val="14"/>
        <color theme="1"/>
        <rFont val="Calibri"/>
        <family val="2"/>
        <scheme val="minor"/>
      </rPr>
      <t>:</t>
    </r>
    <r>
      <rPr>
        <b/>
        <i/>
        <u/>
        <sz val="14"/>
        <color theme="4" tint="-0.249977111117893"/>
        <rFont val="Calibri"/>
        <family val="2"/>
        <scheme val="minor"/>
      </rPr>
      <t xml:space="preserve"> Food &amp; Non-Alcoholic Beverages is the biggest contributor to CPI inflation. Monitoring food prices along with other high-contribution categories can provide better understanding of overall inflation movement.</t>
    </r>
  </si>
  <si>
    <r>
      <rPr>
        <i/>
        <u/>
        <sz val="16"/>
        <color theme="9"/>
        <rFont val="Calibri"/>
        <family val="2"/>
        <scheme val="minor"/>
      </rPr>
      <t xml:space="preserve"> </t>
    </r>
    <r>
      <rPr>
        <b/>
        <i/>
        <u/>
        <sz val="16"/>
        <color theme="9"/>
        <rFont val="Calibri"/>
        <family val="2"/>
        <scheme val="minor"/>
      </rPr>
      <t>Recommendation</t>
    </r>
    <r>
      <rPr>
        <b/>
        <sz val="16"/>
        <color theme="1"/>
        <rFont val="Calibri"/>
        <family val="2"/>
        <scheme val="minor"/>
      </rPr>
      <t xml:space="preserve"> :</t>
    </r>
    <r>
      <rPr>
        <sz val="16"/>
        <color theme="1"/>
        <rFont val="Calibri"/>
        <family val="2"/>
        <scheme val="minor"/>
      </rPr>
      <t xml:space="preserve"> </t>
    </r>
    <r>
      <rPr>
        <b/>
        <i/>
        <u/>
        <sz val="16"/>
        <color theme="1"/>
        <rFont val="Calibri"/>
        <family val="2"/>
        <scheme val="minor"/>
      </rPr>
      <t xml:space="preserve"> </t>
    </r>
    <r>
      <rPr>
        <b/>
        <i/>
        <u/>
        <sz val="16"/>
        <color theme="4"/>
        <rFont val="Calibri"/>
        <family val="2"/>
        <scheme val="minor"/>
      </rPr>
      <t>2019 recorded the highest inflation rate at 7.74%, while 2023 showed the lowest at 1.47%. Monitoring yearly inflation trends helps identify periods of higher price pressure and stability.</t>
    </r>
  </si>
  <si>
    <r>
      <rPr>
        <i/>
        <u/>
        <sz val="14"/>
        <color theme="9"/>
        <rFont val="Calibri"/>
        <family val="2"/>
        <scheme val="minor"/>
      </rPr>
      <t>Recommendation</t>
    </r>
    <r>
      <rPr>
        <sz val="14"/>
        <color theme="1"/>
        <rFont val="Calibri"/>
        <family val="2"/>
        <scheme val="minor"/>
      </rPr>
      <t xml:space="preserve"> : </t>
    </r>
    <r>
      <rPr>
        <i/>
        <u/>
        <sz val="14"/>
        <color theme="4"/>
        <rFont val="Calibri"/>
        <family val="2"/>
        <scheme val="minor"/>
      </rPr>
      <t>Food categories, especially  Vegetables and (Pulses and Products), showed the highest inflation growth in 2019. Monitoring these categories is important as they had a major impact on category-level inflation movement.</t>
    </r>
  </si>
  <si>
    <r>
      <rPr>
        <b/>
        <i/>
        <u/>
        <sz val="12"/>
        <color theme="9"/>
        <rFont val="Calibri"/>
        <family val="2"/>
        <scheme val="minor"/>
      </rPr>
      <t>Recommendation</t>
    </r>
    <r>
      <rPr>
        <b/>
        <i/>
        <u/>
        <sz val="12"/>
        <color theme="1"/>
        <rFont val="Calibri"/>
        <family val="2"/>
        <scheme val="minor"/>
      </rPr>
      <t xml:space="preserve"> : </t>
    </r>
    <r>
      <rPr>
        <b/>
        <i/>
        <u/>
        <sz val="12"/>
        <color theme="4"/>
        <rFont val="Calibri"/>
        <family val="2"/>
        <scheme val="minor"/>
      </rPr>
      <t>June 2022 recorded the highest month-on-month inflation rate at 1.03%, while February 2023 showed a decline of -0.59%. Monitoring monthly inflation trends helps identify short-term price fluctuations and periods of increasing or decreasing price pressure.</t>
    </r>
  </si>
  <si>
    <r>
      <rPr>
        <b/>
        <i/>
        <u/>
        <sz val="11"/>
        <color theme="9"/>
        <rFont val="Calibri"/>
        <family val="2"/>
        <scheme val="minor"/>
      </rPr>
      <t>Recommendation</t>
    </r>
    <r>
      <rPr>
        <b/>
        <i/>
        <u/>
        <sz val="11"/>
        <color theme="1"/>
        <rFont val="Calibri"/>
        <family val="2"/>
        <scheme val="minor"/>
      </rPr>
      <t xml:space="preserve"> : </t>
    </r>
    <r>
      <rPr>
        <b/>
        <i/>
        <u/>
        <sz val="11"/>
        <color theme="8"/>
        <rFont val="Calibri"/>
        <family val="2"/>
        <scheme val="minor"/>
      </rPr>
      <t>Spices recorded the highest inflation increase at 18%, followed by Cereals and products at 13%, while Oils and fats showed the largest decline at -16%. Monitoring individual food categories helps identify specific drivers behind food inflation changes.</t>
    </r>
  </si>
  <si>
    <r>
      <rPr>
        <i/>
        <u/>
        <sz val="16"/>
        <color theme="9"/>
        <rFont val="Calibri"/>
        <family val="2"/>
        <scheme val="minor"/>
      </rPr>
      <t>Recommendation</t>
    </r>
    <r>
      <rPr>
        <i/>
        <u/>
        <sz val="16"/>
        <color theme="1"/>
        <rFont val="Calibri"/>
        <family val="2"/>
        <scheme val="minor"/>
      </rPr>
      <t xml:space="preserve"> :</t>
    </r>
    <r>
      <rPr>
        <i/>
        <u/>
        <sz val="16"/>
        <color theme="4"/>
        <rFont val="Calibri"/>
        <family val="2"/>
        <scheme val="minor"/>
      </rPr>
      <t xml:space="preserve"> COVID-19 onset period showed noticeable changes in inflation trends, with Food &amp; Beverages reaching 7.82% inflation in 2020 and Essential Services increasing gradually after the pandemic. Monitoring essential categories helps understand the impact of major economic disruptions on inflation.</t>
    </r>
  </si>
  <si>
    <t>Category-wise Inflation Analysis and Identification of Major Inflation Drivers</t>
  </si>
  <si>
    <t>Month-on-Month CPI Inflation Trend Analysis</t>
  </si>
  <si>
    <t>Food Category-wise Inflation Change Analysis (May 2022 vs May 2023)</t>
  </si>
  <si>
    <t>Food and Beverages Inflation Trend During COVID Period</t>
  </si>
  <si>
    <t>Healthcare Inflation Trend During COVID Period</t>
  </si>
  <si>
    <t>Essential Services Inflation Trend During COVID Period</t>
  </si>
  <si>
    <t>Analysis of CPI Contribution by Major Consumption Categories Bucket</t>
  </si>
  <si>
    <t>Y-O-Y Inflation Trend Analysis</t>
  </si>
  <si>
    <t xml:space="preserve">Category </t>
  </si>
  <si>
    <t>Correlation Value</t>
  </si>
  <si>
    <t>Imported Oil Price Fluctuation Analysis and Correlation with CPI Categories</t>
  </si>
  <si>
    <r>
      <rPr>
        <b/>
        <i/>
        <u/>
        <sz val="11"/>
        <color theme="9"/>
        <rFont val="Calibri"/>
        <family val="2"/>
        <scheme val="minor"/>
      </rPr>
      <t>Recommendation</t>
    </r>
    <r>
      <rPr>
        <sz val="11"/>
        <color theme="1"/>
        <rFont val="Calibri"/>
        <family val="2"/>
        <scheme val="minor"/>
      </rPr>
      <t xml:space="preserve"> : </t>
    </r>
    <r>
      <rPr>
        <b/>
        <i/>
        <u/>
        <sz val="11"/>
        <color rgb="FF0070C0"/>
        <rFont val="Calibri"/>
        <family val="2"/>
        <scheme val="minor"/>
      </rPr>
      <t>The month-on-month analysis shows that inflation reached its highest increase in June 2022 at 1.03%, while February 2023 recorded the lowest change at -0.59%. Monitoring monthly inflation movements helps identify short-term price fluctuations and changing inflation patterns.</t>
    </r>
  </si>
  <si>
    <r>
      <rPr>
        <b/>
        <i/>
        <u/>
        <sz val="11"/>
        <color theme="9"/>
        <rFont val="Calibri"/>
        <family val="2"/>
        <scheme val="minor"/>
      </rPr>
      <t>Recommendation</t>
    </r>
    <r>
      <rPr>
        <b/>
        <sz val="11"/>
        <color theme="1"/>
        <rFont val="Calibri"/>
        <family val="2"/>
        <scheme val="minor"/>
      </rPr>
      <t xml:space="preserve"> : </t>
    </r>
    <r>
      <rPr>
        <b/>
        <i/>
        <u/>
        <sz val="11"/>
        <color rgb="FF0070C0"/>
        <rFont val="Calibri"/>
        <family val="2"/>
        <scheme val="minor"/>
      </rPr>
      <t>Meat and fish and Oils and fats showed the highest positive correlation with imported oil price fluctuations, with a correlation value of 0.39. Monitoring oil price movements along with related CPI categories helps understand potential impacts on inflation trends</t>
    </r>
    <r>
      <rPr>
        <b/>
        <sz val="11"/>
        <color theme="1"/>
        <rFont val="Calibri"/>
        <family val="2"/>
        <scheme val="minor"/>
      </rPr>
      <t>.</t>
    </r>
  </si>
  <si>
    <t>STAR Method – CPI Inflation Analysis Project</t>
  </si>
  <si>
    <t>S – Situation (Project Background)</t>
  </si>
  <si>
    <t>Analysed India's CPI inflation trends using historical CPI data.</t>
  </si>
  <si>
    <t>The objective was to understand inflation movement across different categories and identify major factors affecting inflation.</t>
  </si>
  <si>
    <t>T – Task (My Objective)</t>
  </si>
  <si>
    <t>Analyse CPI data to identify major inflation drivers.</t>
  </si>
  <si>
    <t>Study category contribution, yearly inflation trends, and monthly price movements.</t>
  </si>
  <si>
    <t>Understand the impact of COVID-19 and imported oil price fluctuations on CPI categories.</t>
  </si>
  <si>
    <t>A – Action (Steps Performed)</t>
  </si>
  <si>
    <t>Analysed category-wise CPI contribution to identify major contributors to inflation.</t>
  </si>
  <si>
    <t>Calculated and compared yearly inflation trends.</t>
  </si>
  <si>
    <t>Performed month-on-month inflation analysis to understand short-term price changes.</t>
  </si>
  <si>
    <t>Analysed the impact of COVID-19 on Food, Healthcare, and Essential Services inflation trends.</t>
  </si>
  <si>
    <t>Studied imported oil price fluctuations and their relationship with CPI categories using correlation analysis.</t>
  </si>
  <si>
    <t>Used Excel tools:</t>
  </si>
  <si>
    <t>Pivot Tables</t>
  </si>
  <si>
    <t>Charts</t>
  </si>
  <si>
    <t>Inflation calculations</t>
  </si>
  <si>
    <t>CORREL function</t>
  </si>
  <si>
    <t>R – Result (Key Findings)</t>
  </si>
  <si>
    <t>Identified major inflation-driving categories from CPI data.</t>
  </si>
  <si>
    <t>Understood yearly and monthly inflation patterns.</t>
  </si>
  <si>
    <t>Analysed how COVID-19 affected important categories like Food, Healthcare, and Essential Services.</t>
  </si>
  <si>
    <t>Identified the relationship between imported oil price fluctuations and CPI category movements.</t>
  </si>
  <si>
    <t>Generated insights to understand how different economic factors influenced inflation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</si>
</sst>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12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154FC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4"/>
      <color rgb="FF00B050"/>
      <name val="Calibri"/>
      <family val="2"/>
      <scheme val="minor"/>
    </font>
    <font>
      <b/>
      <i/>
      <u/>
      <sz val="14"/>
      <color theme="4" tint="-0.249977111117893"/>
      <name val="Calibri"/>
      <family val="2"/>
      <scheme val="minor"/>
    </font>
    <font>
      <b/>
      <i/>
      <u/>
      <sz val="11"/>
      <color theme="9"/>
      <name val="Calibri"/>
      <family val="2"/>
      <scheme val="minor"/>
    </font>
    <font>
      <sz val="16"/>
      <color theme="1"/>
      <name val="Calibri"/>
      <family val="2"/>
      <scheme val="minor"/>
    </font>
    <font>
      <i/>
      <u/>
      <sz val="16"/>
      <color theme="9"/>
      <name val="Calibri"/>
      <family val="2"/>
      <scheme val="minor"/>
    </font>
    <font>
      <b/>
      <i/>
      <u/>
      <sz val="16"/>
      <color theme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u/>
      <sz val="16"/>
      <color theme="4"/>
      <name val="Calibri"/>
      <family val="2"/>
      <scheme val="minor"/>
    </font>
    <font>
      <i/>
      <u/>
      <sz val="16"/>
      <color theme="1"/>
      <name val="Calibri"/>
      <family val="2"/>
      <scheme val="minor"/>
    </font>
    <font>
      <i/>
      <u/>
      <sz val="16"/>
      <color theme="4"/>
      <name val="Calibri"/>
      <family val="2"/>
      <scheme val="minor"/>
    </font>
    <font>
      <i/>
      <u/>
      <sz val="14"/>
      <color theme="9"/>
      <name val="Calibri"/>
      <family val="2"/>
      <scheme val="minor"/>
    </font>
    <font>
      <i/>
      <u/>
      <sz val="14"/>
      <color theme="4"/>
      <name val="Calibri"/>
      <family val="2"/>
      <scheme val="minor"/>
    </font>
    <font>
      <b/>
      <i/>
      <u/>
      <sz val="11"/>
      <color theme="8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2"/>
      <color theme="9"/>
      <name val="Calibri"/>
      <family val="2"/>
      <scheme val="minor"/>
    </font>
    <font>
      <b/>
      <i/>
      <u/>
      <sz val="12"/>
      <color theme="4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u/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u/>
      <sz val="26"/>
      <color theme="1"/>
      <name val="Calibri"/>
      <family val="2"/>
      <scheme val="minor"/>
    </font>
    <font>
      <b/>
      <i/>
      <u/>
      <sz val="22"/>
      <color theme="1"/>
      <name val="Calibri"/>
      <family val="2"/>
      <scheme val="minor"/>
    </font>
    <font>
      <b/>
      <i/>
      <u/>
      <sz val="11"/>
      <color rgb="FF0070C0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98F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theme="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rgb="FFDC450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E75B6"/>
      </patternFill>
    </fill>
    <fill>
      <patternFill patternType="solid">
        <fgColor rgb="FFA4A3D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20" fillId="35" borderId="10" xfId="0" applyFont="1" applyFill="1" applyBorder="1" applyAlignment="1">
      <alignment horizontal="center"/>
    </xf>
    <xf numFmtId="0" fontId="21" fillId="36" borderId="10" xfId="0" applyFont="1" applyFill="1" applyBorder="1" applyAlignment="1">
      <alignment horizontal="center" vertical="center"/>
    </xf>
    <xf numFmtId="10" fontId="21" fillId="36" borderId="10" xfId="1" applyNumberFormat="1" applyFont="1" applyFill="1" applyBorder="1" applyAlignment="1">
      <alignment horizontal="center" vertical="center"/>
    </xf>
    <xf numFmtId="0" fontId="22" fillId="36" borderId="10" xfId="0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center"/>
    </xf>
    <xf numFmtId="0" fontId="19" fillId="38" borderId="10" xfId="0" applyFont="1" applyFill="1" applyBorder="1" applyAlignment="1">
      <alignment horizontal="center"/>
    </xf>
    <xf numFmtId="0" fontId="19" fillId="39" borderId="10" xfId="0" applyFont="1" applyFill="1" applyBorder="1" applyAlignment="1">
      <alignment horizontal="center"/>
    </xf>
    <xf numFmtId="0" fontId="19" fillId="40" borderId="10" xfId="0" applyFont="1" applyFill="1" applyBorder="1" applyAlignment="1">
      <alignment horizontal="center"/>
    </xf>
    <xf numFmtId="0" fontId="19" fillId="40" borderId="11" xfId="0" applyFont="1" applyFill="1" applyBorder="1" applyAlignment="1">
      <alignment horizontal="center"/>
    </xf>
    <xf numFmtId="0" fontId="19" fillId="40" borderId="13" xfId="0" applyFont="1" applyFill="1" applyBorder="1" applyAlignment="1">
      <alignment horizontal="center"/>
    </xf>
    <xf numFmtId="0" fontId="0" fillId="41" borderId="10" xfId="0" applyFill="1" applyBorder="1" applyAlignment="1">
      <alignment horizontal="center" vertical="center"/>
    </xf>
    <xf numFmtId="0" fontId="0" fillId="41" borderId="12" xfId="0" applyFill="1" applyBorder="1" applyAlignment="1">
      <alignment horizontal="center"/>
    </xf>
    <xf numFmtId="0" fontId="16" fillId="42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10" fontId="24" fillId="43" borderId="10" xfId="1" applyNumberFormat="1" applyFont="1" applyFill="1" applyBorder="1" applyAlignment="1">
      <alignment horizontal="center" vertical="center"/>
    </xf>
    <xf numFmtId="0" fontId="0" fillId="43" borderId="10" xfId="0" applyFill="1" applyBorder="1" applyAlignment="1">
      <alignment horizontal="center" vertical="center"/>
    </xf>
    <xf numFmtId="0" fontId="0" fillId="43" borderId="12" xfId="0" applyFill="1" applyBorder="1" applyAlignment="1">
      <alignment horizontal="center"/>
    </xf>
    <xf numFmtId="0" fontId="25" fillId="33" borderId="10" xfId="0" applyFont="1" applyFill="1" applyBorder="1" applyAlignment="1">
      <alignment horizontal="center" vertical="center"/>
    </xf>
    <xf numFmtId="0" fontId="26" fillId="44" borderId="10" xfId="0" applyFont="1" applyFill="1" applyBorder="1" applyAlignment="1">
      <alignment horizontal="center" vertical="center"/>
    </xf>
    <xf numFmtId="10" fontId="26" fillId="44" borderId="10" xfId="1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6" fillId="45" borderId="0" xfId="0" applyFont="1" applyFill="1" applyAlignment="1">
      <alignment horizontal="center" vertical="center"/>
    </xf>
    <xf numFmtId="10" fontId="26" fillId="45" borderId="0" xfId="1" applyNumberFormat="1" applyFont="1" applyFill="1" applyBorder="1" applyAlignment="1">
      <alignment horizontal="center" vertical="center"/>
    </xf>
    <xf numFmtId="0" fontId="0" fillId="45" borderId="0" xfId="0" applyFill="1"/>
    <xf numFmtId="0" fontId="27" fillId="46" borderId="10" xfId="0" applyFont="1" applyFill="1" applyBorder="1" applyAlignment="1">
      <alignment horizontal="center" vertical="center"/>
    </xf>
    <xf numFmtId="17" fontId="27" fillId="46" borderId="10" xfId="0" applyNumberFormat="1" applyFont="1" applyFill="1" applyBorder="1" applyAlignment="1">
      <alignment horizontal="center" vertical="center"/>
    </xf>
    <xf numFmtId="9" fontId="16" fillId="47" borderId="10" xfId="1" applyFont="1" applyFill="1" applyBorder="1" applyAlignment="1">
      <alignment horizontal="center" vertical="center"/>
    </xf>
    <xf numFmtId="0" fontId="25" fillId="44" borderId="10" xfId="0" applyFont="1" applyFill="1" applyBorder="1" applyAlignment="1">
      <alignment horizontal="center" vertical="center"/>
    </xf>
    <xf numFmtId="0" fontId="16" fillId="44" borderId="10" xfId="0" applyFont="1" applyFill="1" applyBorder="1" applyAlignment="1">
      <alignment horizontal="center" vertical="center"/>
    </xf>
    <xf numFmtId="10" fontId="0" fillId="0" borderId="0" xfId="1" applyNumberFormat="1" applyFont="1"/>
    <xf numFmtId="0" fontId="0" fillId="0" borderId="10" xfId="0" applyBorder="1" applyAlignment="1">
      <alignment horizontal="center" vertical="center"/>
    </xf>
    <xf numFmtId="10" fontId="0" fillId="0" borderId="10" xfId="1" applyNumberFormat="1" applyFont="1" applyBorder="1" applyAlignment="1">
      <alignment horizontal="center" vertical="center"/>
    </xf>
    <xf numFmtId="0" fontId="0" fillId="35" borderId="10" xfId="0" applyFill="1" applyBorder="1"/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35" borderId="10" xfId="0" applyFill="1" applyBorder="1" applyAlignment="1">
      <alignment horizontal="center"/>
    </xf>
    <xf numFmtId="10" fontId="0" fillId="35" borderId="10" xfId="0" applyNumberFormat="1" applyFill="1" applyBorder="1" applyAlignment="1">
      <alignment horizontal="center"/>
    </xf>
    <xf numFmtId="0" fontId="16" fillId="35" borderId="10" xfId="0" applyFont="1" applyFill="1" applyBorder="1" applyAlignment="1">
      <alignment horizontal="center" vertical="center"/>
    </xf>
    <xf numFmtId="0" fontId="0" fillId="46" borderId="0" xfId="0" applyFill="1"/>
    <xf numFmtId="0" fontId="0" fillId="46" borderId="10" xfId="0" applyFill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46" borderId="10" xfId="0" applyNumberFormat="1" applyFill="1" applyBorder="1" applyAlignment="1">
      <alignment horizontal="center"/>
    </xf>
    <xf numFmtId="0" fontId="0" fillId="46" borderId="10" xfId="0" applyFill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0" fillId="46" borderId="10" xfId="0" applyNumberFormat="1" applyFill="1" applyBorder="1" applyAlignment="1">
      <alignment horizontal="center" vertical="center"/>
    </xf>
    <xf numFmtId="0" fontId="0" fillId="0" borderId="10" xfId="0" applyBorder="1"/>
    <xf numFmtId="0" fontId="29" fillId="48" borderId="14" xfId="0" applyFont="1" applyFill="1" applyBorder="1" applyAlignment="1">
      <alignment horizontal="center" vertical="center"/>
    </xf>
    <xf numFmtId="10" fontId="0" fillId="0" borderId="10" xfId="1" applyNumberFormat="1" applyFont="1" applyBorder="1"/>
    <xf numFmtId="10" fontId="0" fillId="0" borderId="0" xfId="1" applyNumberFormat="1" applyFont="1" applyAlignment="1">
      <alignment horizontal="center"/>
    </xf>
    <xf numFmtId="0" fontId="32" fillId="0" borderId="10" xfId="0" applyFont="1" applyBorder="1" applyAlignment="1">
      <alignment horizontal="center" vertical="center"/>
    </xf>
    <xf numFmtId="10" fontId="32" fillId="0" borderId="10" xfId="1" applyNumberFormat="1" applyFont="1" applyBorder="1" applyAlignment="1">
      <alignment horizontal="center" vertical="center"/>
    </xf>
    <xf numFmtId="10" fontId="32" fillId="0" borderId="10" xfId="1" applyNumberFormat="1" applyFont="1" applyBorder="1" applyAlignment="1">
      <alignment horizontal="center"/>
    </xf>
    <xf numFmtId="0" fontId="33" fillId="0" borderId="0" xfId="0" applyFont="1"/>
    <xf numFmtId="0" fontId="34" fillId="0" borderId="0" xfId="0" applyFont="1"/>
    <xf numFmtId="0" fontId="38" fillId="0" borderId="0" xfId="0" applyFont="1"/>
    <xf numFmtId="0" fontId="20" fillId="0" borderId="0" xfId="0" applyFont="1"/>
    <xf numFmtId="0" fontId="49" fillId="0" borderId="0" xfId="0" applyFont="1"/>
    <xf numFmtId="0" fontId="52" fillId="0" borderId="0" xfId="0" applyFont="1"/>
    <xf numFmtId="0" fontId="44" fillId="0" borderId="0" xfId="0" applyFont="1"/>
    <xf numFmtId="0" fontId="29" fillId="48" borderId="10" xfId="0" applyFont="1" applyFill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2" fontId="31" fillId="0" borderId="10" xfId="0" applyNumberFormat="1" applyFont="1" applyBorder="1" applyAlignment="1">
      <alignment horizontal="center" vertical="center"/>
    </xf>
    <xf numFmtId="0" fontId="30" fillId="6" borderId="10" xfId="0" applyFont="1" applyFill="1" applyBorder="1" applyAlignment="1">
      <alignment horizontal="center" vertical="center"/>
    </xf>
    <xf numFmtId="2" fontId="31" fillId="6" borderId="10" xfId="0" applyNumberFormat="1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2" fontId="0" fillId="0" borderId="10" xfId="1" applyNumberFormat="1" applyFont="1" applyBorder="1" applyAlignment="1">
      <alignment horizontal="center" vertical="center"/>
    </xf>
    <xf numFmtId="0" fontId="16" fillId="50" borderId="10" xfId="0" applyFont="1" applyFill="1" applyBorder="1" applyAlignment="1">
      <alignment horizontal="center" vertical="center"/>
    </xf>
    <xf numFmtId="2" fontId="0" fillId="50" borderId="10" xfId="1" applyNumberFormat="1" applyFont="1" applyFill="1" applyBorder="1" applyAlignment="1">
      <alignment horizontal="center" vertical="center"/>
    </xf>
    <xf numFmtId="0" fontId="16" fillId="41" borderId="10" xfId="0" applyFont="1" applyFill="1" applyBorder="1" applyAlignment="1">
      <alignment horizontal="center" vertical="center"/>
    </xf>
    <xf numFmtId="2" fontId="0" fillId="41" borderId="10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51" borderId="0" xfId="0" applyFill="1"/>
    <xf numFmtId="0" fontId="0" fillId="49" borderId="0" xfId="0" applyFill="1"/>
    <xf numFmtId="0" fontId="20" fillId="51" borderId="0" xfId="0" applyFont="1" applyFill="1"/>
    <xf numFmtId="0" fontId="13" fillId="53" borderId="19" xfId="0" applyFont="1" applyFill="1" applyBorder="1" applyAlignment="1">
      <alignment horizontal="center"/>
    </xf>
    <xf numFmtId="0" fontId="13" fillId="53" borderId="15" xfId="0" applyFont="1" applyFill="1" applyBorder="1" applyAlignment="1">
      <alignment horizontal="center"/>
    </xf>
    <xf numFmtId="0" fontId="13" fillId="53" borderId="20" xfId="0" applyFont="1" applyFill="1" applyBorder="1" applyAlignment="1">
      <alignment horizontal="center"/>
    </xf>
    <xf numFmtId="0" fontId="0" fillId="52" borderId="19" xfId="0" applyFill="1" applyBorder="1" applyAlignment="1">
      <alignment horizontal="center"/>
    </xf>
    <xf numFmtId="0" fontId="0" fillId="52" borderId="15" xfId="0" applyFill="1" applyBorder="1" applyAlignment="1">
      <alignment horizontal="center"/>
    </xf>
    <xf numFmtId="0" fontId="0" fillId="52" borderId="20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3" fillId="49" borderId="0" xfId="0" applyFont="1" applyFill="1" applyAlignment="1">
      <alignment horizontal="center" vertical="center"/>
    </xf>
    <xf numFmtId="0" fontId="55" fillId="49" borderId="0" xfId="0" applyFont="1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10" fontId="0" fillId="43" borderId="10" xfId="1" applyNumberFormat="1" applyFont="1" applyFill="1" applyBorder="1" applyAlignment="1">
      <alignment horizontal="center" vertical="center"/>
    </xf>
    <xf numFmtId="10" fontId="0" fillId="41" borderId="10" xfId="1" applyNumberFormat="1" applyFont="1" applyFill="1" applyBorder="1" applyAlignment="1">
      <alignment horizontal="center" vertical="center"/>
    </xf>
    <xf numFmtId="0" fontId="24" fillId="43" borderId="12" xfId="0" applyFont="1" applyFill="1" applyBorder="1" applyAlignment="1">
      <alignment horizontal="center" vertical="center"/>
    </xf>
    <xf numFmtId="0" fontId="24" fillId="43" borderId="11" xfId="0" applyFont="1" applyFill="1" applyBorder="1" applyAlignment="1">
      <alignment horizontal="center" vertical="center"/>
    </xf>
    <xf numFmtId="0" fontId="56" fillId="49" borderId="0" xfId="0" applyFont="1" applyFill="1" applyAlignment="1">
      <alignment horizontal="center" vertical="center"/>
    </xf>
    <xf numFmtId="0" fontId="54" fillId="49" borderId="0" xfId="0" applyFont="1" applyFill="1" applyAlignment="1">
      <alignment horizontal="center" vertical="center"/>
    </xf>
    <xf numFmtId="0" fontId="55" fillId="49" borderId="0" xfId="0" applyFont="1" applyFill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59" xfId="43" xr:uid="{E2A9CF0C-E642-45B7-873D-AA6ABAB2AAD1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1">
    <dxf>
      <numFmt numFmtId="14" formatCode="0.00%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39997558519241921"/>
        </patternFill>
      </fill>
    </dxf>
    <dxf>
      <numFmt numFmtId="14" formatCode="0.00%"/>
    </dxf>
    <dxf>
      <numFmt numFmtId="14" formatCode="0.00%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14" formatCode="0.00%"/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numFmt numFmtId="14" formatCode="0.00%"/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4" formatCode="0.00%"/>
    </dxf>
  </dxfs>
  <tableStyles count="0" defaultTableStyle="TableStyleMedium2" defaultPivotStyle="PivotStyleLight16"/>
  <colors>
    <mruColors>
      <color rgb="FFA4A3D5"/>
      <color rgb="FFDC4508"/>
      <color rgb="FFE98FCD"/>
      <color rgb="FF154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baseline="0"/>
              <a:t>Contribution of Each Category Bucket</a:t>
            </a:r>
          </a:p>
        </c:rich>
      </c:tx>
      <c:layout>
        <c:manualLayout>
          <c:xMode val="edge"/>
          <c:yMode val="edge"/>
          <c:x val="0.26335236330193229"/>
          <c:y val="4.4789972354633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6308056502131144E-2"/>
          <c:y val="0.16798396383191067"/>
          <c:w val="0.61142696236791561"/>
          <c:h val="0.74563659359627832"/>
        </c:manualLayout>
      </c:layout>
      <c:pie3DChart>
        <c:varyColors val="1"/>
        <c:ser>
          <c:idx val="1"/>
          <c:order val="1"/>
          <c:tx>
            <c:strRef>
              <c:f>'Q1'!$C$11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C0B-4158-AE3F-028A211503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C0B-4158-AE3F-028A211503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C0B-4158-AE3F-028A211503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C0B-4158-AE3F-028A211503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CE5-4848-8B07-1A5FE4B028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9CE5-4848-8B07-1A5FE4B028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CE5-4848-8B07-1A5FE4B0285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9CE5-4848-8B07-1A5FE4B02855}"/>
              </c:ext>
            </c:extLst>
          </c:dPt>
          <c:dLbls>
            <c:dLbl>
              <c:idx val="4"/>
              <c:layout>
                <c:manualLayout>
                  <c:x val="0.14380497193735892"/>
                  <c:y val="6.32032530533364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E5-4848-8B07-1A5FE4B02855}"/>
                </c:ext>
              </c:extLst>
            </c:dLbl>
            <c:dLbl>
              <c:idx val="5"/>
              <c:layout>
                <c:manualLayout>
                  <c:x val="7.218144362624454E-2"/>
                  <c:y val="0.1074498888150899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E5-4848-8B07-1A5FE4B02855}"/>
                </c:ext>
              </c:extLst>
            </c:dLbl>
            <c:dLbl>
              <c:idx val="6"/>
              <c:layout>
                <c:manualLayout>
                  <c:x val="4.4342704541136271E-2"/>
                  <c:y val="9.05918092250085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E5-4848-8B07-1A5FE4B02855}"/>
                </c:ext>
              </c:extLst>
            </c:dLbl>
            <c:dLbl>
              <c:idx val="7"/>
              <c:layout>
                <c:manualLayout>
                  <c:x val="1.6942834309663174E-2"/>
                  <c:y val="9.846832339713586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E5-4848-8B07-1A5FE4B0285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'Q1'!$A$12:$A$19</c:f>
              <c:strCache>
                <c:ptCount val="8"/>
                <c:pt idx="0">
                  <c:v>FOOD &amp; NON-ALCHOLIC BEVERAGES</c:v>
                </c:pt>
                <c:pt idx="1">
                  <c:v>ALCOHOL,TOBACCO &amp; INTOXICANTS</c:v>
                </c:pt>
                <c:pt idx="2">
                  <c:v>CLOTHING AND FOOTWEAR</c:v>
                </c:pt>
                <c:pt idx="3">
                  <c:v>HOUSING,FUEL AND UTILITIES</c:v>
                </c:pt>
                <c:pt idx="4">
                  <c:v>HEALTHCARE AND EDUCATION</c:v>
                </c:pt>
                <c:pt idx="5">
                  <c:v>TRANSPORT &amp; COMMUNICATION</c:v>
                </c:pt>
                <c:pt idx="6">
                  <c:v>RECREATION AND CULTURE</c:v>
                </c:pt>
                <c:pt idx="7">
                  <c:v>MISCELLANEOUS</c:v>
                </c:pt>
              </c:strCache>
            </c:strRef>
          </c:cat>
          <c:val>
            <c:numRef>
              <c:f>'Q1'!$C$12:$C$19</c:f>
              <c:numCache>
                <c:formatCode>0.00%</c:formatCode>
                <c:ptCount val="8"/>
                <c:pt idx="0">
                  <c:v>0.50162674410987629</c:v>
                </c:pt>
                <c:pt idx="1">
                  <c:v>4.28630696333821E-2</c:v>
                </c:pt>
                <c:pt idx="2">
                  <c:v>0.11751861475642511</c:v>
                </c:pt>
                <c:pt idx="3">
                  <c:v>0.11400310063977991</c:v>
                </c:pt>
                <c:pt idx="4">
                  <c:v>0.11446164595934233</c:v>
                </c:pt>
                <c:pt idx="5">
                  <c:v>3.5570015503198903E-2</c:v>
                </c:pt>
                <c:pt idx="6">
                  <c:v>3.6727296547808805E-2</c:v>
                </c:pt>
                <c:pt idx="7">
                  <c:v>3.7229512850186698E-2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E5-4848-8B07-1A5FE4B028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'Q1'!$B$11</c15:sqref>
                        </c15:formulaRef>
                      </c:ext>
                    </c:extLst>
                    <c:strCache>
                      <c:ptCount val="1"/>
                      <c:pt idx="0">
                        <c:v>CPI Values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1-FC0B-4158-AE3F-028A2115036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3-FC0B-4158-AE3F-028A2115036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5-FC0B-4158-AE3F-028A2115036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7-FC0B-4158-AE3F-028A2115036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9-FC0B-4158-AE3F-028A2115036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3-9CE5-4848-8B07-1A5FE4B0285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2-9CE5-4848-8B07-1A5FE4B0285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F-FC0B-4158-AE3F-028A21150361}"/>
                    </c:ext>
                  </c:extLst>
                </c:dPt>
                <c:dLbls>
                  <c:dLbl>
                    <c:idx val="5"/>
                    <c:layout>
                      <c:manualLayout>
                        <c:x val="1.0951748866102165E-2"/>
                        <c:y val="-1.1293035917864323E-2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9CE5-4848-8B07-1A5FE4B02855}"/>
                      </c:ext>
                    </c:extLst>
                  </c:dLbl>
                  <c:dLbl>
                    <c:idx val="6"/>
                    <c:layout>
                      <c:manualLayout>
                        <c:x val="1.3047544739000489E-2"/>
                        <c:y val="9.3090620600138599E-4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9CE5-4848-8B07-1A5FE4B02855}"/>
                      </c:ext>
                    </c:extLst>
                  </c:dLbl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'Q1'!$A$12:$A$19</c15:sqref>
                        </c15:formulaRef>
                      </c:ext>
                    </c:extLst>
                    <c:strCache>
                      <c:ptCount val="8"/>
                      <c:pt idx="0">
                        <c:v>FOOD &amp; NON-ALCHOLIC BEVERAGES</c:v>
                      </c:pt>
                      <c:pt idx="1">
                        <c:v>ALCOHOL,TOBACCO &amp; INTOXICANTS</c:v>
                      </c:pt>
                      <c:pt idx="2">
                        <c:v>CLOTHING AND FOOTWEAR</c:v>
                      </c:pt>
                      <c:pt idx="3">
                        <c:v>HOUSING,FUEL AND UTILITIES</c:v>
                      </c:pt>
                      <c:pt idx="4">
                        <c:v>HEALTHCARE AND EDUCATION</c:v>
                      </c:pt>
                      <c:pt idx="5">
                        <c:v>TRANSPORT &amp; COMMUNICATION</c:v>
                      </c:pt>
                      <c:pt idx="6">
                        <c:v>RECREATION AND CULTURE</c:v>
                      </c:pt>
                      <c:pt idx="7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'Q1'!$B$12:$B$19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2297.3000000000002</c:v>
                      </c:pt>
                      <c:pt idx="1">
                        <c:v>196.3</c:v>
                      </c:pt>
                      <c:pt idx="2">
                        <c:v>538.20000000000005</c:v>
                      </c:pt>
                      <c:pt idx="3">
                        <c:v>522.1</c:v>
                      </c:pt>
                      <c:pt idx="4">
                        <c:v>524.20000000000005</c:v>
                      </c:pt>
                      <c:pt idx="5">
                        <c:v>162.9</c:v>
                      </c:pt>
                      <c:pt idx="6">
                        <c:v>168.2</c:v>
                      </c:pt>
                      <c:pt idx="7">
                        <c:v>170.5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CE5-4848-8B07-1A5FE4B02855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PROJECT FINAL.xlsx]Q2 I!PivotTable12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 CPI Inflation Trend Analysis YOY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I'!$B$21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5018-4F9A-AC84-7233276D263A}"/>
              </c:ext>
            </c:extLst>
          </c:dPt>
          <c:cat>
            <c:strRef>
              <c:f>'Q2 I'!$A$22:$A$29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'Q2 I'!$B$22:$B$29</c:f>
              <c:numCache>
                <c:formatCode>0.00%</c:formatCode>
                <c:ptCount val="7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  <c:pt idx="6">
                  <c:v>1.4730878186968806E-2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8-4F9A-AC84-7233276D2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821679"/>
        <c:axId val="4824559"/>
      </c:barChart>
      <c:catAx>
        <c:axId val="48216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4559"/>
        <c:crosses val="autoZero"/>
        <c:auto val="1"/>
        <c:lblAlgn val="ctr"/>
        <c:lblOffset val="100"/>
        <c:noMultiLvlLbl val="0"/>
      </c:catAx>
      <c:valAx>
        <c:axId val="48245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16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PROJECT FINAL.xlsx]Q3 I!PivotTable3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MOM (Rural+Urban rate changes)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8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35233173823840874"/>
          <c:y val="6.67443628262400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878824091640424E-2"/>
          <c:y val="0.18281440713560193"/>
          <c:w val="0.8516532896598995"/>
          <c:h val="0.551382980156158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 I'!$B$20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'Q3 I'!$A$21:$A$36</c:f>
              <c:multiLvlStrCache>
                <c:ptCount val="13"/>
                <c:lvl>
                  <c:pt idx="0">
                    <c:v>May</c:v>
                  </c:pt>
                  <c:pt idx="1">
                    <c:v>June</c:v>
                  </c:pt>
                  <c:pt idx="2">
                    <c:v>July</c:v>
                  </c:pt>
                  <c:pt idx="3">
                    <c:v>August</c:v>
                  </c:pt>
                  <c:pt idx="4">
                    <c:v>September</c:v>
                  </c:pt>
                  <c:pt idx="5">
                    <c:v>October</c:v>
                  </c:pt>
                  <c:pt idx="6">
                    <c:v>November</c:v>
                  </c:pt>
                  <c:pt idx="7">
                    <c:v>December</c:v>
                  </c:pt>
                  <c:pt idx="8">
                    <c:v>January</c:v>
                  </c:pt>
                  <c:pt idx="9">
                    <c:v>February</c:v>
                  </c:pt>
                  <c:pt idx="10">
                    <c:v>March</c:v>
                  </c:pt>
                  <c:pt idx="11">
                    <c:v>April</c:v>
                  </c:pt>
                  <c:pt idx="12">
                    <c:v>May</c:v>
                  </c:pt>
                </c:lvl>
                <c:lvl>
                  <c:pt idx="0">
                    <c:v>2022</c:v>
                  </c:pt>
                  <c:pt idx="8">
                    <c:v>2023</c:v>
                  </c:pt>
                </c:lvl>
              </c:multiLvlStrCache>
            </c:multiLvlStrRef>
          </c:cat>
          <c:val>
            <c:numRef>
              <c:f>'Q3 I'!$B$21:$B$36</c:f>
              <c:numCache>
                <c:formatCode>0.00%</c:formatCode>
                <c:ptCount val="13"/>
                <c:pt idx="1">
                  <c:v>1.0272901871454526E-2</c:v>
                </c:pt>
                <c:pt idx="2">
                  <c:v>1.9452672531942573E-3</c:v>
                </c:pt>
                <c:pt idx="3">
                  <c:v>1.279618761858576E-3</c:v>
                </c:pt>
                <c:pt idx="4">
                  <c:v>5.1560021152828386E-3</c:v>
                </c:pt>
                <c:pt idx="5">
                  <c:v>7.1901442413082953E-3</c:v>
                </c:pt>
                <c:pt idx="6">
                  <c:v>-2.1764680276846731E-4</c:v>
                </c:pt>
                <c:pt idx="7">
                  <c:v>-5.8342041100662182E-3</c:v>
                </c:pt>
                <c:pt idx="8">
                  <c:v>4.0728737847068961E-3</c:v>
                </c:pt>
                <c:pt idx="9">
                  <c:v>-5.9318707201116193E-3</c:v>
                </c:pt>
                <c:pt idx="10">
                  <c:v>4.3876968978943027E-5</c:v>
                </c:pt>
                <c:pt idx="11">
                  <c:v>4.5630045630048032E-3</c:v>
                </c:pt>
                <c:pt idx="12">
                  <c:v>7.5559049615652185E-3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B-493A-81BC-9147DDCC4F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089473551"/>
        <c:axId val="2089473071"/>
      </c:barChart>
      <c:catAx>
        <c:axId val="20894735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473071"/>
        <c:crosses val="autoZero"/>
        <c:auto val="1"/>
        <c:lblAlgn val="ctr"/>
        <c:lblOffset val="100"/>
        <c:noMultiLvlLbl val="0"/>
      </c:catAx>
      <c:valAx>
        <c:axId val="2089473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4735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PROJECT FINAL.xlsx]Q3 II!PivotTable4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Contribution of Food Cateogory</a:t>
            </a:r>
          </a:p>
          <a:p>
            <a:pPr>
              <a:defRPr/>
            </a:pPr>
            <a:endParaRPr lang="en-US"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</a:endParaRPr>
          </a:p>
        </c:rich>
      </c:tx>
      <c:layout>
        <c:manualLayout>
          <c:xMode val="edge"/>
          <c:yMode val="edge"/>
          <c:x val="0.38472013796373822"/>
          <c:y val="5.6548785606750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  <c:pivotFmt>
        <c:idx val="2"/>
        <c:spPr>
          <a:solidFill>
            <a:srgbClr val="FF0000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</c:pivotFmts>
    <c:plotArea>
      <c:layout>
        <c:manualLayout>
          <c:layoutTarget val="inner"/>
          <c:xMode val="edge"/>
          <c:yMode val="edge"/>
          <c:x val="6.0207335390697635E-2"/>
          <c:y val="0.16809078051218979"/>
          <c:w val="0.92611107122958747"/>
          <c:h val="0.524322602097216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 II'!$B$20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B774-4958-AB10-F7D938ECB2D2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B774-4958-AB10-F7D938ECB2D2}"/>
              </c:ext>
            </c:extLst>
          </c:dPt>
          <c:cat>
            <c:strRef>
              <c:f>'Q3 II'!$A$21:$A$33</c:f>
              <c:strCache>
                <c:ptCount val="12"/>
                <c:pt idx="0">
                  <c:v>Cereals and products</c:v>
                </c:pt>
                <c:pt idx="1">
                  <c:v>Egg</c:v>
                </c:pt>
                <c:pt idx="2">
                  <c:v>Fruits</c:v>
                </c:pt>
                <c:pt idx="3">
                  <c:v>Meat and fish</c:v>
                </c:pt>
                <c:pt idx="4">
                  <c:v>Milk and products</c:v>
                </c:pt>
                <c:pt idx="5">
                  <c:v>Non-alcoholic beverages</c:v>
                </c:pt>
                <c:pt idx="6">
                  <c:v>Oils and fats</c:v>
                </c:pt>
                <c:pt idx="7">
                  <c:v>Prepared meals, snacks, sweets etc.</c:v>
                </c:pt>
                <c:pt idx="8">
                  <c:v>Pulses and products</c:v>
                </c:pt>
                <c:pt idx="9">
                  <c:v>Spices</c:v>
                </c:pt>
                <c:pt idx="10">
                  <c:v>Sugar and Confectionery</c:v>
                </c:pt>
                <c:pt idx="11">
                  <c:v>Vegetables</c:v>
                </c:pt>
              </c:strCache>
            </c:strRef>
          </c:cat>
          <c:val>
            <c:numRef>
              <c:f>'Q3 II'!$B$21:$B$33</c:f>
              <c:numCache>
                <c:formatCode>0%</c:formatCode>
                <c:ptCount val="12"/>
                <c:pt idx="0">
                  <c:v>0.12719013627514597</c:v>
                </c:pt>
                <c:pt idx="1">
                  <c:v>6.6502463054187083E-2</c:v>
                </c:pt>
                <c:pt idx="2">
                  <c:v>7.0175438596490562E-3</c:v>
                </c:pt>
                <c:pt idx="3">
                  <c:v>-1.2442396313364003E-2</c:v>
                </c:pt>
                <c:pt idx="4">
                  <c:v>8.853850818677983E-2</c:v>
                </c:pt>
                <c:pt idx="5">
                  <c:v>3.7701974865350159E-2</c:v>
                </c:pt>
                <c:pt idx="6">
                  <c:v>-0.16007905138339923</c:v>
                </c:pt>
                <c:pt idx="7">
                  <c:v>6.410958904109583E-2</c:v>
                </c:pt>
                <c:pt idx="8">
                  <c:v>6.6180935033394089E-2</c:v>
                </c:pt>
                <c:pt idx="9">
                  <c:v>0.1790156841535965</c:v>
                </c:pt>
                <c:pt idx="10">
                  <c:v>2.5062656641604009E-2</c:v>
                </c:pt>
                <c:pt idx="11">
                  <c:v>-7.9473985134362518E-2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4-4958-AB10-F7D938ECB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42013231"/>
        <c:axId val="2042010351"/>
      </c:barChart>
      <c:catAx>
        <c:axId val="20420132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10351"/>
        <c:crosses val="autoZero"/>
        <c:auto val="1"/>
        <c:lblAlgn val="ctr"/>
        <c:lblOffset val="100"/>
        <c:noMultiLvlLbl val="0"/>
      </c:catAx>
      <c:valAx>
        <c:axId val="20420103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132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PROJECT FINAL.xlsx]Q4!PivotTable8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  <a:r>
              <a:rPr lang="en-US" baseline="0"/>
              <a:t> and Bevrages  YOY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'Q4'!$H$7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4-5803-4B43-B7F6-31DB492D5365}"/>
              </c:ext>
            </c:extLst>
          </c:dPt>
          <c:cat>
            <c:strRef>
              <c:f>'Q4'!$G$8:$G$15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'Q4'!$H$8:$H$15</c:f>
              <c:numCache>
                <c:formatCode>0.00%</c:formatCode>
                <c:ptCount val="7"/>
                <c:pt idx="1">
                  <c:v>3.0803906836964646E-2</c:v>
                </c:pt>
                <c:pt idx="2">
                  <c:v>6.5597667638484384E-3</c:v>
                </c:pt>
                <c:pt idx="3">
                  <c:v>7.8204199855177486E-2</c:v>
                </c:pt>
                <c:pt idx="4">
                  <c:v>5.2384150436534473E-2</c:v>
                </c:pt>
                <c:pt idx="5">
                  <c:v>7.4664964901084985E-2</c:v>
                </c:pt>
                <c:pt idx="6">
                  <c:v>5.1068883610451268E-2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3-4B43-B7F6-31DB492D5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32385711"/>
        <c:axId val="332384751"/>
      </c:barChart>
      <c:catAx>
        <c:axId val="3323857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84751"/>
        <c:crosses val="autoZero"/>
        <c:auto val="1"/>
        <c:lblAlgn val="ctr"/>
        <c:lblOffset val="100"/>
        <c:noMultiLvlLbl val="0"/>
      </c:catAx>
      <c:valAx>
        <c:axId val="3323847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857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PROJECT FINAL.xlsx]Q4!PivotTable9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</a:t>
            </a:r>
            <a:r>
              <a:rPr lang="en-US" baseline="0"/>
              <a:t> YOY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9525" cap="flat" cmpd="sng" algn="ctr">
            <a:solidFill>
              <a:schemeClr val="accent2">
                <a:lumMod val="75000"/>
              </a:schemeClr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'Q4'!$H$20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2">
                    <a:lumMod val="75000"/>
                  </a:schemeClr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3D6C-43F7-B85E-A8984996AC29}"/>
              </c:ext>
            </c:extLst>
          </c:dPt>
          <c:cat>
            <c:strRef>
              <c:f>'Q4'!$G$21:$G$28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'Q4'!$H$21:$H$28</c:f>
              <c:numCache>
                <c:formatCode>0.00%</c:formatCode>
                <c:ptCount val="7"/>
                <c:pt idx="1">
                  <c:v>5.0860719874804491E-2</c:v>
                </c:pt>
                <c:pt idx="2">
                  <c:v>8.8607594936708681E-2</c:v>
                </c:pt>
                <c:pt idx="3">
                  <c:v>4.1723666210670474E-2</c:v>
                </c:pt>
                <c:pt idx="4">
                  <c:v>6.1720288903479817E-2</c:v>
                </c:pt>
                <c:pt idx="5">
                  <c:v>6.9882498453927105E-2</c:v>
                </c:pt>
                <c:pt idx="6">
                  <c:v>6.589595375722547E-2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C-43F7-B85E-A8984996A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37246799"/>
        <c:axId val="337247279"/>
      </c:barChart>
      <c:catAx>
        <c:axId val="3372467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47279"/>
        <c:crosses val="autoZero"/>
        <c:auto val="1"/>
        <c:lblAlgn val="ctr"/>
        <c:lblOffset val="100"/>
        <c:noMultiLvlLbl val="0"/>
      </c:catAx>
      <c:valAx>
        <c:axId val="3372472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467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PROJECT FINAL.xlsx]Q4!PivotTable10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Essential</a:t>
            </a:r>
            <a:r>
              <a:rPr lang="en-US" baseline="0"/>
              <a:t> Services YOY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'Q4'!$H$33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Pt>
            <c:idx val="5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88AD-48DB-B272-FDAE52A9736D}"/>
              </c:ext>
            </c:extLst>
          </c:dPt>
          <c:cat>
            <c:strRef>
              <c:f>'Q4'!$G$34:$G$41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'Q4'!$H$34:$H$41</c:f>
              <c:numCache>
                <c:formatCode>0.00%</c:formatCode>
                <c:ptCount val="7"/>
                <c:pt idx="1">
                  <c:v>4.8698738170346867E-2</c:v>
                </c:pt>
                <c:pt idx="2">
                  <c:v>4.9257379206617657E-2</c:v>
                </c:pt>
                <c:pt idx="3">
                  <c:v>4.6855402257659884E-2</c:v>
                </c:pt>
                <c:pt idx="4">
                  <c:v>5.5370132648694954E-2</c:v>
                </c:pt>
                <c:pt idx="5">
                  <c:v>6.5763866363931361E-2</c:v>
                </c:pt>
                <c:pt idx="6">
                  <c:v>6.0792817469375232E-2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D-48DB-B272-FDAE52A97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87756831"/>
        <c:axId val="1687758271"/>
      </c:barChart>
      <c:catAx>
        <c:axId val="16877568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758271"/>
        <c:crosses val="autoZero"/>
        <c:auto val="1"/>
        <c:lblAlgn val="ctr"/>
        <c:lblOffset val="100"/>
        <c:noMultiLvlLbl val="0"/>
      </c:catAx>
      <c:valAx>
        <c:axId val="16877582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756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</xdr:colOff>
      <xdr:row>5</xdr:row>
      <xdr:rowOff>72390</xdr:rowOff>
    </xdr:from>
    <xdr:to>
      <xdr:col>15</xdr:col>
      <xdr:colOff>325754</xdr:colOff>
      <xdr:row>32</xdr:row>
      <xdr:rowOff>8573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8112DB-F900-883C-9A97-B8D1828EC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</xdr:colOff>
      <xdr:row>4</xdr:row>
      <xdr:rowOff>0</xdr:rowOff>
    </xdr:from>
    <xdr:to>
      <xdr:col>20</xdr:col>
      <xdr:colOff>59055</xdr:colOff>
      <xdr:row>23</xdr:row>
      <xdr:rowOff>35243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BCADD9-DE82-6C82-BD26-29A579051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</xdr:colOff>
      <xdr:row>18</xdr:row>
      <xdr:rowOff>112395</xdr:rowOff>
    </xdr:from>
    <xdr:to>
      <xdr:col>8</xdr:col>
      <xdr:colOff>411480</xdr:colOff>
      <xdr:row>36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82793-A7E9-264D-2E82-C261E305D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17146</xdr:colOff>
      <xdr:row>18</xdr:row>
      <xdr:rowOff>27622</xdr:rowOff>
    </xdr:from>
    <xdr:to>
      <xdr:col>14</xdr:col>
      <xdr:colOff>478155</xdr:colOff>
      <xdr:row>38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D410AE-E61B-202D-BFC6-DECAD91AC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62865</xdr:colOff>
      <xdr:row>1</xdr:row>
      <xdr:rowOff>106680</xdr:rowOff>
    </xdr:from>
    <xdr:to>
      <xdr:col>15</xdr:col>
      <xdr:colOff>74295</xdr:colOff>
      <xdr:row>13</xdr:row>
      <xdr:rowOff>1905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B74EAF-18DE-90BE-3736-DE3DBB6C7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85724</xdr:colOff>
      <xdr:row>14</xdr:row>
      <xdr:rowOff>56197</xdr:rowOff>
    </xdr:from>
    <xdr:to>
      <xdr:col>15</xdr:col>
      <xdr:colOff>133349</xdr:colOff>
      <xdr:row>29</xdr:row>
      <xdr:rowOff>88582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3B477F-6A8D-E737-D1CD-10AA1FC5E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79057</xdr:colOff>
      <xdr:row>30</xdr:row>
      <xdr:rowOff>107632</xdr:rowOff>
    </xdr:from>
    <xdr:to>
      <xdr:col>15</xdr:col>
      <xdr:colOff>190500</xdr:colOff>
      <xdr:row>44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93E4C5-B2A3-2337-D01C-531EBB7A2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HAH" refreshedDate="46290.453336689818" createdVersion="8" refreshedVersion="8" minRefreshableVersion="3" recordCount="13" xr:uid="{5197E622-A42C-41ED-BC0E-F2DAABC39668}">
  <cacheSource type="worksheet">
    <worksheetSource ref="A5:R18" sheet="Q3 I"/>
  </cacheSource>
  <cacheFields count="18">
    <cacheField name="Sector" numFmtId="0">
      <sharedItems/>
    </cacheField>
    <cacheField name="Year" numFmtId="0">
      <sharedItems containsSemiMixedTypes="0" containsString="0" containsNumber="1" containsInteger="1" minValue="2022" maxValue="2023" count="2">
        <n v="2022"/>
        <n v="2023"/>
      </sharedItems>
    </cacheField>
    <cacheField name="Month" numFmtId="0">
      <sharedItems count="12"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</sharedItems>
    </cacheField>
    <cacheField name="Cereals and products" numFmtId="0">
      <sharedItems containsSemiMixedTypes="0" containsString="0" containsNumber="1" minValue="154.1" maxValue="174.4"/>
    </cacheField>
    <cacheField name="Meat and fish" numFmtId="0">
      <sharedItems containsSemiMixedTypes="0" containsString="0" containsNumber="1" minValue="206.5" maxValue="219.4"/>
    </cacheField>
    <cacheField name="Egg" numFmtId="0">
      <sharedItems containsSemiMixedTypes="0" containsString="0" containsNumber="1" minValue="162.4" maxValue="194.5"/>
    </cacheField>
    <cacheField name="Milk and products" numFmtId="0">
      <sharedItems containsSemiMixedTypes="0" containsString="0" containsNumber="1" minValue="164.9" maxValue="179.5"/>
    </cacheField>
    <cacheField name="Oils and fats" numFmtId="0">
      <sharedItems containsSemiMixedTypes="0" containsString="0" containsNumber="1" minValue="170" maxValue="202.4"/>
    </cacheField>
    <cacheField name="Fruits" numFmtId="0">
      <sharedItems containsSemiMixedTypes="0" containsString="0" containsNumber="1" minValue="158" maxValue="176.3"/>
    </cacheField>
    <cacheField name="Vegetables" numFmtId="0">
      <sharedItems containsSemiMixedTypes="0" containsString="0" containsNumber="1" minValue="152.69999999999999" maxValue="199.7"/>
    </cacheField>
    <cacheField name="Pulses and products" numFmtId="0">
      <sharedItems containsSemiMixedTypes="0" containsString="0" containsNumber="1" minValue="164.3" maxValue="175.6"/>
    </cacheField>
    <cacheField name="Sugar and Confectionery" numFmtId="0">
      <sharedItems containsSemiMixedTypes="0" containsString="0" containsNumber="1" minValue="119.7" maxValue="122.7"/>
    </cacheField>
    <cacheField name="Spices" numFmtId="0">
      <sharedItems containsSemiMixedTypes="0" containsString="0" containsNumber="1" minValue="184.9" maxValue="218"/>
    </cacheField>
    <cacheField name="Non-alcoholic beverages" numFmtId="0">
      <sharedItems containsSemiMixedTypes="0" containsString="0" containsNumber="1" minValue="167.1" maxValue="173.4"/>
    </cacheField>
    <cacheField name="Prepared meals, snacks, sweets etc." numFmtId="0">
      <sharedItems containsSemiMixedTypes="0" containsString="0" containsNumber="1" minValue="182.5" maxValue="194.2"/>
    </cacheField>
    <cacheField name="Food and beverages" numFmtId="0">
      <sharedItems containsSemiMixedTypes="0" containsString="0" containsNumber="1" minValue="173.3" maxValue="179.6"/>
    </cacheField>
    <cacheField name="total values of category" numFmtId="0">
      <sharedItems containsSemiMixedTypes="0" containsString="0" containsNumber="1" minValue="2238.9000000000005" maxValue="2306.9"/>
    </cacheField>
    <cacheField name="Inflation Rate" numFmtId="0">
      <sharedItems containsString="0" containsBlank="1" containsNumber="1" minValue="-5.9318707201116193E-3" maxValue="1.027290187145452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HAH" refreshedDate="46290.493395949074" createdVersion="8" refreshedVersion="8" minRefreshableVersion="3" recordCount="12" xr:uid="{CCB0C320-7450-480A-98EE-A54803FB396F}">
  <cacheSource type="worksheet">
    <worksheetSource ref="A6:D18" sheet="Q3 II"/>
  </cacheSource>
  <cacheFields count="4">
    <cacheField name="Food and beverages" numFmtId="0">
      <sharedItems count="12"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</sharedItems>
    </cacheField>
    <cacheField name="May-22" numFmtId="0">
      <sharedItems containsSemiMixedTypes="0" containsString="0" containsNumber="1" minValue="119.7" maxValue="217" count="12">
        <n v="154.1"/>
        <n v="217"/>
        <n v="162.4"/>
        <n v="164.9"/>
        <n v="202.4"/>
        <n v="171"/>
        <n v="174.9"/>
        <n v="164.7"/>
        <n v="119.7"/>
        <n v="184.9"/>
        <n v="167.1"/>
        <n v="182.5"/>
      </sharedItems>
    </cacheField>
    <cacheField name="May-23" numFmtId="0">
      <sharedItems containsSemiMixedTypes="0" containsString="0" containsNumber="1" minValue="122.7" maxValue="218" count="12">
        <n v="173.7"/>
        <n v="214.3"/>
        <n v="173.2"/>
        <n v="179.5"/>
        <n v="170"/>
        <n v="172.2"/>
        <n v="161"/>
        <n v="175.6"/>
        <n v="122.7"/>
        <n v="218"/>
        <n v="173.4"/>
        <n v="194.2"/>
      </sharedItems>
    </cacheField>
    <cacheField name="% of inflation changes" numFmtId="9">
      <sharedItems containsSemiMixedTypes="0" containsString="0" containsNumber="1" minValue="-0.16007905138339923" maxValue="0.17901568415359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HAH" refreshedDate="46290.820230902777" createdVersion="8" refreshedVersion="8" minRefreshableVersion="3" recordCount="7" xr:uid="{953DFBBA-DF3C-413E-BCC5-82982A0AA7B2}">
  <cacheSource type="worksheet">
    <worksheetSource ref="A7:E14" sheet="Q4"/>
  </cacheSource>
  <cacheFields count="5">
    <cacheField name="Sector" numFmtId="0">
      <sharedItems count="1">
        <s v="Rural+Urban"/>
      </sharedItems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 count="1">
        <s v="March"/>
      </sharedItems>
    </cacheField>
    <cacheField name="Food and beverages" numFmtId="0">
      <sharedItems containsSemiMixedTypes="0" containsString="0" containsNumber="1" minValue="133.1" maxValue="177"/>
    </cacheField>
    <cacheField name="YOY % Rate Changes" numFmtId="0">
      <sharedItems containsString="0" containsBlank="1" containsNumber="1" minValue="6.5597667638484384E-3" maxValue="7.820419985517748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HAH" refreshedDate="46290.822423032405" createdVersion="8" refreshedVersion="8" minRefreshableVersion="3" recordCount="7" xr:uid="{257EAD16-6E8E-4370-92A6-30E593FFC403}">
  <cacheSource type="worksheet">
    <worksheetSource ref="A20:E27" sheet="Q4"/>
  </cacheSource>
  <cacheFields count="5">
    <cacheField name="Sector" numFmtId="0">
      <sharedItems/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Health" numFmtId="0">
      <sharedItems containsSemiMixedTypes="0" containsString="0" containsNumber="1" minValue="127.8" maxValue="184.4"/>
    </cacheField>
    <cacheField name="YOY % Rate Changes" numFmtId="0">
      <sharedItems containsString="0" containsBlank="1" containsNumber="1" minValue="4.1723666210670474E-2" maxValue="8.860759493670868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HAH" refreshedDate="46290.822791435188" createdVersion="8" refreshedVersion="8" minRefreshableVersion="3" recordCount="7" xr:uid="{BA7DB775-1186-4C3F-AFFD-11FE9636457B}">
  <cacheSource type="worksheet">
    <worksheetSource ref="A33:E40" sheet="Q4"/>
  </cacheSource>
  <cacheFields count="5">
    <cacheField name="Sector" numFmtId="0">
      <sharedItems/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Essential Services" numFmtId="0">
      <sharedItems containsSemiMixedTypes="0" containsString="0" containsNumber="1" minValue="126.80000000000001" maxValue="174.27499999999998"/>
    </cacheField>
    <cacheField name="YOY % Rate Changes" numFmtId="0">
      <sharedItems containsString="0" containsBlank="1" containsNumber="1" minValue="4.6855402257659884E-2" maxValue="6.576386636393136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HAH" refreshedDate="46290.978370370372" createdVersion="8" refreshedVersion="8" minRefreshableVersion="3" recordCount="14" xr:uid="{99A7284A-0EF1-44DD-A2F2-04075E4ADF07}">
  <cacheSource type="worksheet">
    <worksheetSource ref="A5:E19" sheet="Q2 I"/>
  </cacheSource>
  <cacheFields count="5">
    <cacheField name="Sector" numFmtId="0">
      <sharedItems/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 count="3">
        <s v="January"/>
        <s v="December"/>
        <s v="May"/>
      </sharedItems>
    </cacheField>
    <cacheField name="General Index" numFmtId="0">
      <sharedItems containsSemiMixedTypes="0" containsString="0" containsNumber="1" minValue="130.30000000000001" maxValue="179.1"/>
    </cacheField>
    <cacheField name="Inflation Rate" numFmtId="10">
      <sharedItems containsString="0" containsBlank="1" containsNumber="1" minValue="1.4730878186968806E-2" maxValue="7.736389684813761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Rural+Urban"/>
    <x v="0"/>
    <x v="0"/>
    <n v="154.1"/>
    <n v="217"/>
    <n v="162.4"/>
    <n v="164.9"/>
    <n v="202.4"/>
    <n v="171"/>
    <n v="174.9"/>
    <n v="164.7"/>
    <n v="119.7"/>
    <n v="184.9"/>
    <n v="167.1"/>
    <n v="182.5"/>
    <n v="173.3"/>
    <n v="2238.9000000000005"/>
    <m/>
  </r>
  <r>
    <s v="Rural+Urban"/>
    <x v="0"/>
    <x v="1"/>
    <n v="155"/>
    <n v="219.4"/>
    <n v="170.8"/>
    <n v="165.8"/>
    <n v="200.9"/>
    <n v="169.7"/>
    <n v="182.3"/>
    <n v="164.3"/>
    <n v="119.9"/>
    <n v="187.1"/>
    <n v="167.9"/>
    <n v="183.9"/>
    <n v="174.9"/>
    <n v="2261.9"/>
    <n v="1.0272901871454526E-2"/>
  </r>
  <r>
    <s v="Rural+Urban"/>
    <x v="0"/>
    <x v="2"/>
    <n v="156.5"/>
    <n v="213"/>
    <n v="175.2"/>
    <n v="166.6"/>
    <n v="195.8"/>
    <n v="174.2"/>
    <n v="182.1"/>
    <n v="164.3"/>
    <n v="120"/>
    <n v="190"/>
    <n v="168.4"/>
    <n v="185.2"/>
    <n v="175"/>
    <n v="2266.3000000000002"/>
    <n v="1.9452672531942573E-3"/>
  </r>
  <r>
    <s v="Rural+Urban"/>
    <x v="0"/>
    <x v="3"/>
    <n v="160.30000000000001"/>
    <n v="206.5"/>
    <n v="169.2"/>
    <n v="168.1"/>
    <n v="192.4"/>
    <n v="172.9"/>
    <n v="186.7"/>
    <n v="167.2"/>
    <n v="120.9"/>
    <n v="193.6"/>
    <n v="168.8"/>
    <n v="186.3"/>
    <n v="176.3"/>
    <n v="2269.2000000000003"/>
    <n v="1.279618761858576E-3"/>
  </r>
  <r>
    <s v="Rural+Urban"/>
    <x v="0"/>
    <x v="4"/>
    <n v="163.5"/>
    <n v="209.2"/>
    <n v="169.7"/>
    <n v="169.7"/>
    <n v="188.7"/>
    <n v="165.7"/>
    <n v="191.8"/>
    <n v="169.1"/>
    <n v="121.6"/>
    <n v="197.3"/>
    <n v="169.4"/>
    <n v="187.4"/>
    <n v="177.8"/>
    <n v="2280.9"/>
    <n v="5.1560021152828386E-3"/>
  </r>
  <r>
    <s v="Rural+Urban"/>
    <x v="0"/>
    <x v="5"/>
    <n v="165.2"/>
    <n v="210.9"/>
    <n v="170.9"/>
    <n v="170.9"/>
    <n v="186.5"/>
    <n v="163.80000000000001"/>
    <n v="199.7"/>
    <n v="169.8"/>
    <n v="121.9"/>
    <n v="199.9"/>
    <n v="169.9"/>
    <n v="188.3"/>
    <n v="179.6"/>
    <n v="2297.3000000000002"/>
    <n v="7.1901442413082953E-3"/>
  </r>
  <r>
    <s v="Rural+Urban"/>
    <x v="0"/>
    <x v="6"/>
    <n v="167.4"/>
    <n v="209.4"/>
    <n v="181.4"/>
    <n v="172.3"/>
    <n v="188.9"/>
    <n v="160.69999999999999"/>
    <n v="183.1"/>
    <n v="170.5"/>
    <n v="122.1"/>
    <n v="202.8"/>
    <n v="170.4"/>
    <n v="189.5"/>
    <n v="178.3"/>
    <n v="2296.8000000000002"/>
    <n v="-2.1764680276846731E-4"/>
  </r>
  <r>
    <s v="Rural+Urban"/>
    <x v="0"/>
    <x v="7"/>
    <n v="169.2"/>
    <n v="209"/>
    <n v="190.2"/>
    <n v="173.6"/>
    <n v="188.5"/>
    <n v="158"/>
    <n v="159.9"/>
    <n v="170.8"/>
    <n v="121.8"/>
    <n v="205.2"/>
    <n v="171"/>
    <n v="190.3"/>
    <n v="175.9"/>
    <n v="2283.4"/>
    <n v="-5.8342041100662182E-3"/>
  </r>
  <r>
    <s v="Rural+Urban"/>
    <x v="1"/>
    <x v="8"/>
    <n v="173.8"/>
    <n v="210.7"/>
    <n v="194.5"/>
    <n v="174.6"/>
    <n v="187.2"/>
    <n v="158.30000000000001"/>
    <n v="153.9"/>
    <n v="170.9"/>
    <n v="121.1"/>
    <n v="208.4"/>
    <n v="171.4"/>
    <n v="191.2"/>
    <n v="176.7"/>
    <n v="2292.6999999999998"/>
    <n v="4.0728737847068961E-3"/>
  </r>
  <r>
    <s v="Rural+Urban"/>
    <x v="1"/>
    <x v="9"/>
    <n v="174.4"/>
    <n v="207.7"/>
    <n v="175.2"/>
    <n v="177.3"/>
    <n v="179.3"/>
    <n v="169.5"/>
    <n v="152.69999999999999"/>
    <n v="171"/>
    <n v="120"/>
    <n v="209.7"/>
    <n v="172.3"/>
    <n v="193"/>
    <n v="177"/>
    <n v="2279.1"/>
    <n v="-5.9318707201116193E-3"/>
  </r>
  <r>
    <s v="Rural+Urban"/>
    <x v="1"/>
    <x v="10"/>
    <n v="174.4"/>
    <n v="207.7"/>
    <n v="175.2"/>
    <n v="177.3"/>
    <n v="179.2"/>
    <n v="169.5"/>
    <n v="152.80000000000001"/>
    <n v="171.1"/>
    <n v="120"/>
    <n v="209.7"/>
    <n v="172.3"/>
    <n v="193"/>
    <n v="177"/>
    <n v="2279.1999999999998"/>
    <n v="4.3876968978943027E-5"/>
  </r>
  <r>
    <s v="Rural+Urban"/>
    <x v="1"/>
    <x v="11"/>
    <n v="173.8"/>
    <n v="209.3"/>
    <n v="169.6"/>
    <n v="178.4"/>
    <n v="174.9"/>
    <n v="176.3"/>
    <n v="155.4"/>
    <n v="173.4"/>
    <n v="121.3"/>
    <n v="212.9"/>
    <n v="172.9"/>
    <n v="193.5"/>
    <n v="177.9"/>
    <n v="2289.6000000000004"/>
    <n v="4.5630045630048032E-3"/>
  </r>
  <r>
    <s v="Rural+Urban"/>
    <x v="1"/>
    <x v="0"/>
    <n v="173.7"/>
    <n v="214.3"/>
    <n v="173.2"/>
    <n v="179.5"/>
    <n v="170"/>
    <n v="172.2"/>
    <n v="161"/>
    <n v="175.6"/>
    <n v="122.7"/>
    <n v="218"/>
    <n v="173.4"/>
    <n v="194.2"/>
    <n v="179.1"/>
    <n v="2306.9"/>
    <n v="7.5559049615652185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0.12719013627514597"/>
  </r>
  <r>
    <x v="1"/>
    <x v="1"/>
    <x v="1"/>
    <n v="-1.2442396313364003E-2"/>
  </r>
  <r>
    <x v="2"/>
    <x v="2"/>
    <x v="2"/>
    <n v="6.6502463054187083E-2"/>
  </r>
  <r>
    <x v="3"/>
    <x v="3"/>
    <x v="3"/>
    <n v="8.853850818677983E-2"/>
  </r>
  <r>
    <x v="4"/>
    <x v="4"/>
    <x v="4"/>
    <n v="-0.16007905138339923"/>
  </r>
  <r>
    <x v="5"/>
    <x v="5"/>
    <x v="5"/>
    <n v="7.0175438596490562E-3"/>
  </r>
  <r>
    <x v="6"/>
    <x v="6"/>
    <x v="6"/>
    <n v="-7.9473985134362518E-2"/>
  </r>
  <r>
    <x v="7"/>
    <x v="7"/>
    <x v="7"/>
    <n v="6.6180935033394089E-2"/>
  </r>
  <r>
    <x v="8"/>
    <x v="8"/>
    <x v="8"/>
    <n v="2.5062656641604009E-2"/>
  </r>
  <r>
    <x v="9"/>
    <x v="9"/>
    <x v="9"/>
    <n v="0.1790156841535965"/>
  </r>
  <r>
    <x v="10"/>
    <x v="10"/>
    <x v="10"/>
    <n v="3.7701974865350159E-2"/>
  </r>
  <r>
    <x v="11"/>
    <x v="11"/>
    <x v="11"/>
    <n v="6.410958904109583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n v="133.1"/>
    <m/>
  </r>
  <r>
    <x v="0"/>
    <x v="1"/>
    <x v="0"/>
    <n v="137.19999999999999"/>
    <n v="3.0803906836964646E-2"/>
  </r>
  <r>
    <x v="0"/>
    <x v="2"/>
    <x v="0"/>
    <n v="138.1"/>
    <n v="6.5597667638484384E-3"/>
  </r>
  <r>
    <x v="0"/>
    <x v="3"/>
    <x v="0"/>
    <n v="148.9"/>
    <n v="7.8204199855177486E-2"/>
  </r>
  <r>
    <x v="0"/>
    <x v="4"/>
    <x v="0"/>
    <n v="156.69999999999999"/>
    <n v="5.2384150436534473E-2"/>
  </r>
  <r>
    <x v="0"/>
    <x v="5"/>
    <x v="0"/>
    <n v="168.4"/>
    <n v="7.4664964901084985E-2"/>
  </r>
  <r>
    <x v="0"/>
    <x v="6"/>
    <x v="0"/>
    <n v="177"/>
    <n v="5.1068883610451268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Rural+Urban"/>
    <x v="0"/>
    <s v="March"/>
    <n v="127.8"/>
    <m/>
  </r>
  <r>
    <s v="Rural+Urban"/>
    <x v="1"/>
    <s v="March"/>
    <n v="134.30000000000001"/>
    <n v="5.0860719874804491E-2"/>
  </r>
  <r>
    <s v="Rural+Urban"/>
    <x v="2"/>
    <s v="March"/>
    <n v="146.19999999999999"/>
    <n v="8.8607594936708681E-2"/>
  </r>
  <r>
    <s v="Rural+Urban"/>
    <x v="3"/>
    <s v="March"/>
    <n v="152.30000000000001"/>
    <n v="4.1723666210670474E-2"/>
  </r>
  <r>
    <s v="Rural+Urban"/>
    <x v="4"/>
    <s v="March"/>
    <n v="161.69999999999999"/>
    <n v="6.1720288903479817E-2"/>
  </r>
  <r>
    <s v="Rural+Urban"/>
    <x v="5"/>
    <s v="March"/>
    <n v="173"/>
    <n v="6.9882498453927105E-2"/>
  </r>
  <r>
    <s v="Rural+Urban"/>
    <x v="6"/>
    <s v="March"/>
    <n v="184.4"/>
    <n v="6.589595375722547E-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Rural+Urban"/>
    <x v="0"/>
    <s v="March"/>
    <n v="126.80000000000001"/>
    <m/>
  </r>
  <r>
    <s v="Rural+Urban"/>
    <x v="1"/>
    <s v="March"/>
    <n v="132.97499999999999"/>
    <n v="4.8698738170346867E-2"/>
  </r>
  <r>
    <s v="Rural+Urban"/>
    <x v="2"/>
    <s v="March"/>
    <n v="139.52499999999998"/>
    <n v="4.9257379206617657E-2"/>
  </r>
  <r>
    <s v="Rural+Urban"/>
    <x v="3"/>
    <s v="March"/>
    <n v="146.06249999999997"/>
    <n v="4.6855402257659884E-2"/>
  </r>
  <r>
    <s v="Rural+Urban"/>
    <x v="4"/>
    <s v="March"/>
    <n v="154.14999999999998"/>
    <n v="5.5370132648694954E-2"/>
  </r>
  <r>
    <s v="Rural+Urban"/>
    <x v="5"/>
    <s v="March"/>
    <n v="164.28749999999999"/>
    <n v="6.5763866363931361E-2"/>
  </r>
  <r>
    <s v="Rural+Urban"/>
    <x v="6"/>
    <s v="March"/>
    <n v="174.27499999999998"/>
    <n v="6.0792817469375232E-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Rural+Urban"/>
    <x v="0"/>
    <x v="0"/>
    <n v="130.30000000000001"/>
    <n v="5.295471987720627E-2"/>
  </r>
  <r>
    <s v="Rural+Urban"/>
    <x v="0"/>
    <x v="1"/>
    <n v="137.19999999999999"/>
    <m/>
  </r>
  <r>
    <s v="Rural+Urban"/>
    <x v="1"/>
    <x v="0"/>
    <n v="136.9"/>
    <n v="2.3374726077428697E-2"/>
  </r>
  <r>
    <s v="Rural+Urban"/>
    <x v="1"/>
    <x v="1"/>
    <n v="140.1"/>
    <m/>
  </r>
  <r>
    <s v="Rural+Urban"/>
    <x v="2"/>
    <x v="0"/>
    <n v="139.6"/>
    <n v="7.7363896848137617E-2"/>
  </r>
  <r>
    <s v="Rural+Urban"/>
    <x v="2"/>
    <x v="1"/>
    <n v="150.4"/>
    <m/>
  </r>
  <r>
    <s v="Rural+Urban"/>
    <x v="3"/>
    <x v="0"/>
    <n v="150.19999999999999"/>
    <n v="5.7922769640479481E-2"/>
  </r>
  <r>
    <s v="Rural+Urban"/>
    <x v="3"/>
    <x v="1"/>
    <n v="158.9"/>
    <m/>
  </r>
  <r>
    <s v="Rural+Urban"/>
    <x v="4"/>
    <x v="0"/>
    <n v="157.30000000000001"/>
    <n v="5.657978385251098E-2"/>
  </r>
  <r>
    <s v="Rural+Urban"/>
    <x v="4"/>
    <x v="1"/>
    <n v="166.2"/>
    <m/>
  </r>
  <r>
    <s v="Rural+Urban"/>
    <x v="5"/>
    <x v="0"/>
    <n v="165.7"/>
    <n v="6.0350030175015092E-2"/>
  </r>
  <r>
    <s v="Rural+Urban"/>
    <x v="5"/>
    <x v="1"/>
    <n v="175.7"/>
    <m/>
  </r>
  <r>
    <s v="Rural+Urban"/>
    <x v="6"/>
    <x v="0"/>
    <n v="176.5"/>
    <n v="1.4730878186968806E-2"/>
  </r>
  <r>
    <s v="Rural+Urban"/>
    <x v="6"/>
    <x v="2"/>
    <n v="179.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0A9FB-2E71-4546-ACA2-1986791F98EC}" name="PivotTable1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1:B29" firstHeaderRow="1" firstDataRow="1" firstDataCol="1"/>
  <pivotFields count="5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Inflation Rate" fld="4" baseField="1" baseItem="1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AACB3-6B5E-468F-A5B4-6DAB6AE7E41D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B36" firstHeaderRow="1" firstDataRow="1" firstDataCol="1"/>
  <pivotFields count="18">
    <pivotField showAll="0"/>
    <pivotField axis="axisRow" showAll="0">
      <items count="3">
        <item x="0"/>
        <item x="1"/>
        <item t="default"/>
      </items>
    </pivotField>
    <pivotField axis="axisRow"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2"/>
  </rowFields>
  <rowItems count="16">
    <i>
      <x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Inflation Rate" fld="17" baseField="0" baseItem="0" numFmtId="10"/>
  </dataFields>
  <formats count="28"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outline="0" axis="axisValues" fieldPosition="0"/>
    </format>
    <format dxfId="67">
      <pivotArea dataOnly="0" grandRow="1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1" type="button" dataOnly="0" labelOnly="1" outline="0" axis="axisRow" fieldPosition="0"/>
    </format>
    <format dxfId="63">
      <pivotArea dataOnly="0" labelOnly="1" fieldPosition="0">
        <references count="1">
          <reference field="1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2">
          <reference field="1" count="1" selected="0">
            <x v="0"/>
          </reference>
          <reference field="2" count="8"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0">
      <pivotArea dataOnly="0" labelOnly="1" fieldPosition="0">
        <references count="2">
          <reference field="1" count="1" selected="0">
            <x v="1"/>
          </reference>
          <reference field="2" count="5">
            <x v="0"/>
            <x v="1"/>
            <x v="2"/>
            <x v="3"/>
            <x v="4"/>
          </reference>
        </references>
      </pivotArea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" type="button" dataOnly="0" labelOnly="1" outline="0" axis="axisRow" fieldPosition="0"/>
    </format>
    <format dxfId="55">
      <pivotArea dataOnly="0" labelOnly="1" fieldPosition="0">
        <references count="1">
          <reference field="1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2">
          <reference field="1" count="1" selected="0">
            <x v="0"/>
          </reference>
          <reference field="2" count="8"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2">
      <pivotArea dataOnly="0" labelOnly="1" fieldPosition="0">
        <references count="2">
          <reference field="1" count="1" selected="0">
            <x v="1"/>
          </reference>
          <reference field="2" count="5">
            <x v="0"/>
            <x v="1"/>
            <x v="2"/>
            <x v="3"/>
            <x v="4"/>
          </reference>
        </references>
      </pivotArea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2">
          <reference field="1" count="1" selected="0">
            <x v="0"/>
          </reference>
          <reference field="2" count="8"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4">
      <pivotArea dataOnly="0" labelOnly="1" fieldPosition="0">
        <references count="2">
          <reference field="1" count="1" selected="0">
            <x v="1"/>
          </reference>
          <reference field="2" count="5">
            <x v="0"/>
            <x v="1"/>
            <x v="2"/>
            <x v="3"/>
            <x v="4"/>
          </reference>
        </references>
      </pivotArea>
    </format>
    <format dxfId="4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367E8-93E7-418F-A7DE-11A541B5556A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B33" firstHeaderRow="1" firstDataRow="1" firstDataCol="1"/>
  <pivotFields count="4">
    <pivotField axis="axisRow" showAll="0">
      <items count="13">
        <item x="0"/>
        <item x="2"/>
        <item x="5"/>
        <item x="1"/>
        <item x="3"/>
        <item x="10"/>
        <item x="4"/>
        <item x="11"/>
        <item x="7"/>
        <item x="9"/>
        <item x="8"/>
        <item x="6"/>
        <item t="default"/>
      </items>
    </pivotField>
    <pivotField showAll="0">
      <items count="13">
        <item x="8"/>
        <item x="0"/>
        <item x="2"/>
        <item x="7"/>
        <item x="3"/>
        <item x="10"/>
        <item x="5"/>
        <item x="6"/>
        <item x="11"/>
        <item x="9"/>
        <item x="4"/>
        <item x="1"/>
        <item t="default"/>
      </items>
    </pivotField>
    <pivotField showAll="0">
      <items count="13">
        <item x="8"/>
        <item x="6"/>
        <item x="4"/>
        <item x="5"/>
        <item x="2"/>
        <item x="10"/>
        <item x="0"/>
        <item x="7"/>
        <item x="3"/>
        <item x="11"/>
        <item x="1"/>
        <item x="9"/>
        <item t="default"/>
      </items>
    </pivotField>
    <pivotField dataField="1" numFmtId="9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% of inflation changes" fld="3" baseField="0" baseItem="0" numFmtId="9"/>
  </dataFields>
  <formats count="16">
    <format dxfId="42">
      <pivotArea field="0" type="button" dataOnly="0" labelOnly="1" outline="0" axis="axisRow" fieldPosition="0"/>
    </format>
    <format dxfId="41">
      <pivotArea dataOnly="0" labelOnly="1" outline="0" axis="axisValues" fieldPosition="0"/>
    </format>
    <format dxfId="40">
      <pivotArea grandRow="1" outline="0" collapsedLevelsAreSubtotals="1" fieldPosition="0"/>
    </format>
    <format dxfId="39">
      <pivotArea dataOnly="0" labelOnly="1" grandRow="1" outline="0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23FFD-EE33-4155-A0A7-DD0805E20CCD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G7:H15" firstHeaderRow="1" firstDataRow="1" firstDataCol="1"/>
  <pivotFields count="5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YOY % Rate Changes" fld="4" baseField="1" baseItem="1" numFmtId="10"/>
  </dataFields>
  <formats count="14"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6">
            <x v="1"/>
            <x v="2"/>
            <x v="3"/>
            <x v="4"/>
            <x v="5"/>
            <x v="6"/>
          </reference>
        </references>
      </pivotArea>
    </format>
    <format dxfId="10">
      <pivotArea grandRow="1" outline="0" collapsedLevelsAreSubtotals="1" fieldPosition="0"/>
    </format>
    <format dxfId="9">
      <pivotArea dataOnly="0" grandRow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outline="0" collapsedLevelsAreSubtotals="1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BE973-2CF5-4D2D-9FAE-E78B6E1DE39E}" name="PivotTable10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3:H41" firstHeaderRow="1" firstDataRow="1" firstDataCol="1"/>
  <pivotFields count="5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YOY % Rate Changes" fld="4" baseField="1" baseItem="2" numFmtId="10"/>
  </dataFields>
  <formats count="7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F7380-0A20-4B72-ACC5-BA6A3EEFB913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20:H28" firstHeaderRow="1" firstDataRow="1" firstDataCol="1"/>
  <pivotFields count="5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YOY % Rate Changes" fld="4" baseField="1" baseItem="1" numFmtId="1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893B-A7F0-4120-9E45-0C29783591CE}">
  <sheetPr>
    <tabColor rgb="FFFFFF00"/>
  </sheetPr>
  <dimension ref="A1:AN373"/>
  <sheetViews>
    <sheetView workbookViewId="0"/>
  </sheetViews>
  <sheetFormatPr defaultRowHeight="14.4" x14ac:dyDescent="0.3"/>
  <cols>
    <col min="1" max="1" width="11.5546875" bestFit="1" customWidth="1"/>
    <col min="2" max="2" width="5" bestFit="1" customWidth="1"/>
    <col min="3" max="3" width="10.5546875" bestFit="1" customWidth="1"/>
    <col min="4" max="4" width="19.109375" bestFit="1" customWidth="1"/>
    <col min="5" max="5" width="12.77734375" bestFit="1" customWidth="1"/>
    <col min="6" max="6" width="6" bestFit="1" customWidth="1"/>
    <col min="7" max="7" width="16.33203125" bestFit="1" customWidth="1"/>
    <col min="8" max="8" width="11.5546875" bestFit="1" customWidth="1"/>
    <col min="9" max="9" width="6" bestFit="1" customWidth="1"/>
    <col min="10" max="10" width="10.6640625" bestFit="1" customWidth="1"/>
    <col min="11" max="11" width="18.33203125" bestFit="1" customWidth="1"/>
    <col min="12" max="12" width="22.33203125" bestFit="1" customWidth="1"/>
    <col min="13" max="13" width="6.33203125" bestFit="1" customWidth="1"/>
    <col min="14" max="14" width="22.6640625" bestFit="1" customWidth="1"/>
    <col min="15" max="15" width="32.33203125" bestFit="1" customWidth="1"/>
    <col min="16" max="16" width="18.44140625" bestFit="1" customWidth="1"/>
    <col min="17" max="17" width="25.77734375" bestFit="1" customWidth="1"/>
    <col min="18" max="18" width="8.21875" bestFit="1" customWidth="1"/>
    <col min="19" max="19" width="9.109375" bestFit="1" customWidth="1"/>
    <col min="20" max="20" width="20.44140625" bestFit="1" customWidth="1"/>
    <col min="21" max="21" width="7.88671875" bestFit="1" customWidth="1"/>
    <col min="22" max="22" width="12.77734375" bestFit="1" customWidth="1"/>
    <col min="23" max="23" width="27.33203125" bestFit="1" customWidth="1"/>
    <col min="24" max="24" width="12.77734375" customWidth="1"/>
    <col min="25" max="25" width="27.109375" bestFit="1" customWidth="1"/>
    <col min="26" max="26" width="25.109375" bestFit="1" customWidth="1"/>
    <col min="27" max="27" width="15.5546875" customWidth="1"/>
    <col min="28" max="28" width="22.88671875" bestFit="1" customWidth="1"/>
    <col min="29" max="29" width="13.44140625" bestFit="1" customWidth="1"/>
    <col min="30" max="30" width="13.21875" bestFit="1" customWidth="1"/>
    <col min="31" max="32" width="13.21875" customWidth="1"/>
    <col min="33" max="33" width="32.33203125" bestFit="1" customWidth="1"/>
    <col min="34" max="34" width="32.44140625" bestFit="1" customWidth="1"/>
    <col min="35" max="35" width="24.88671875" bestFit="1" customWidth="1"/>
    <col min="36" max="36" width="26.5546875" bestFit="1" customWidth="1"/>
    <col min="37" max="37" width="27.33203125" bestFit="1" customWidth="1"/>
    <col min="38" max="38" width="29.88671875" bestFit="1" customWidth="1"/>
    <col min="39" max="39" width="24.44140625" bestFit="1" customWidth="1"/>
    <col min="40" max="40" width="15.2187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</row>
    <row r="2" spans="1:40" x14ac:dyDescent="0.3">
      <c r="A2" s="1" t="s">
        <v>30</v>
      </c>
      <c r="B2" s="1">
        <v>2013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  <c r="AG2" s="1">
        <f>SUM(D2:P2)</f>
        <v>1371.6999999999998</v>
      </c>
      <c r="AH2" s="1">
        <f>SUM(Q2)</f>
        <v>105.1</v>
      </c>
      <c r="AI2" s="1">
        <f>SUM(R2:T2)</f>
        <v>318.70000000000005</v>
      </c>
      <c r="AJ2" s="1">
        <f>SUM(U2:W2)</f>
        <v>210.3</v>
      </c>
      <c r="AK2" s="1">
        <f>SUM(X2,AA2,AB2)</f>
        <v>312.5</v>
      </c>
      <c r="AL2" s="1">
        <f>SUM(Y2)</f>
        <v>103.3</v>
      </c>
      <c r="AM2" s="1">
        <f>SUM(Z2)</f>
        <v>103.4</v>
      </c>
      <c r="AN2" s="1">
        <f>SUM(AC2)</f>
        <v>104</v>
      </c>
    </row>
    <row r="3" spans="1:40" x14ac:dyDescent="0.3">
      <c r="A3" s="1" t="s">
        <v>33</v>
      </c>
      <c r="B3" s="1">
        <v>2013</v>
      </c>
      <c r="C3" s="1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  <c r="AG3" s="1">
        <f t="shared" ref="AG3:AG66" si="0">SUM(D3:P3)</f>
        <v>1376.4</v>
      </c>
      <c r="AH3" s="1">
        <f t="shared" ref="AH3:AH66" si="1">SUM(Q3)</f>
        <v>105.2</v>
      </c>
      <c r="AI3" s="1">
        <f t="shared" ref="AI3:AI66" si="2">SUM(R3:T3)</f>
        <v>316.7</v>
      </c>
      <c r="AJ3" s="1">
        <f t="shared" ref="AJ3:AJ66" si="3">SUM(U3:W3)</f>
        <v>310.5</v>
      </c>
      <c r="AK3" s="1">
        <f t="shared" ref="AK3:AK66" si="4">SUM(X3,AA3,AB3)</f>
        <v>311.89999999999998</v>
      </c>
      <c r="AL3" s="1">
        <f t="shared" ref="AL3:AL66" si="5">SUM(Y3)</f>
        <v>103.2</v>
      </c>
      <c r="AM3" s="1">
        <f t="shared" ref="AM3:AM66" si="6">SUM(Z3)</f>
        <v>102.9</v>
      </c>
      <c r="AN3" s="1">
        <f t="shared" ref="AN3:AN66" si="7">SUM(AC3)</f>
        <v>103.7</v>
      </c>
    </row>
    <row r="4" spans="1:40" x14ac:dyDescent="0.3">
      <c r="A4" s="1" t="s">
        <v>34</v>
      </c>
      <c r="B4" s="1">
        <v>2013</v>
      </c>
      <c r="C4" s="1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  <c r="AG4" s="1">
        <f t="shared" si="0"/>
        <v>1373.3000000000002</v>
      </c>
      <c r="AH4" s="1">
        <f t="shared" si="1"/>
        <v>105.1</v>
      </c>
      <c r="AI4" s="1">
        <f t="shared" si="2"/>
        <v>318</v>
      </c>
      <c r="AJ4" s="1">
        <f t="shared" si="3"/>
        <v>310.60000000000002</v>
      </c>
      <c r="AK4" s="1">
        <f t="shared" si="4"/>
        <v>312.10000000000002</v>
      </c>
      <c r="AL4" s="1">
        <f t="shared" si="5"/>
        <v>103.2</v>
      </c>
      <c r="AM4" s="1">
        <f t="shared" si="6"/>
        <v>103.1</v>
      </c>
      <c r="AN4" s="1">
        <f t="shared" si="7"/>
        <v>103.9</v>
      </c>
    </row>
    <row r="5" spans="1:40" x14ac:dyDescent="0.3">
      <c r="A5" s="1" t="s">
        <v>30</v>
      </c>
      <c r="B5" s="1">
        <v>2013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  <c r="AG5" s="1">
        <f t="shared" si="0"/>
        <v>1380.3999999999999</v>
      </c>
      <c r="AH5" s="1">
        <f t="shared" si="1"/>
        <v>105.6</v>
      </c>
      <c r="AI5" s="1">
        <f t="shared" si="2"/>
        <v>320.39999999999998</v>
      </c>
      <c r="AJ5" s="1">
        <f t="shared" si="3"/>
        <v>211.4</v>
      </c>
      <c r="AK5" s="1">
        <f t="shared" si="4"/>
        <v>313.10000000000002</v>
      </c>
      <c r="AL5" s="1">
        <f t="shared" si="5"/>
        <v>103.9</v>
      </c>
      <c r="AM5" s="1">
        <f t="shared" si="6"/>
        <v>104</v>
      </c>
      <c r="AN5" s="1">
        <f t="shared" si="7"/>
        <v>104.4</v>
      </c>
    </row>
    <row r="6" spans="1:40" x14ac:dyDescent="0.3">
      <c r="A6" s="1" t="s">
        <v>33</v>
      </c>
      <c r="B6" s="1">
        <v>2013</v>
      </c>
      <c r="C6" s="1" t="s">
        <v>35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  <c r="AG6" s="1">
        <f t="shared" si="0"/>
        <v>1390.6000000000001</v>
      </c>
      <c r="AH6" s="1">
        <f t="shared" si="1"/>
        <v>106</v>
      </c>
      <c r="AI6" s="1">
        <f t="shared" si="2"/>
        <v>318.5</v>
      </c>
      <c r="AJ6" s="1">
        <f t="shared" si="3"/>
        <v>311.3</v>
      </c>
      <c r="AK6" s="1">
        <f t="shared" si="4"/>
        <v>312.7</v>
      </c>
      <c r="AL6" s="1">
        <f t="shared" si="5"/>
        <v>104.4</v>
      </c>
      <c r="AM6" s="1">
        <f t="shared" si="6"/>
        <v>103.3</v>
      </c>
      <c r="AN6" s="1">
        <f t="shared" si="7"/>
        <v>104.3</v>
      </c>
    </row>
    <row r="7" spans="1:40" x14ac:dyDescent="0.3">
      <c r="A7" s="1" t="s">
        <v>34</v>
      </c>
      <c r="B7" s="1">
        <v>2013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 s="1">
        <v>100.4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  <c r="AG7" s="1">
        <f t="shared" si="0"/>
        <v>1384.2</v>
      </c>
      <c r="AH7" s="1">
        <f t="shared" si="1"/>
        <v>105.7</v>
      </c>
      <c r="AI7" s="1">
        <f t="shared" si="2"/>
        <v>319.7</v>
      </c>
      <c r="AJ7" s="1">
        <f t="shared" si="3"/>
        <v>311.60000000000002</v>
      </c>
      <c r="AK7" s="1">
        <f t="shared" si="4"/>
        <v>312.89999999999998</v>
      </c>
      <c r="AL7" s="1">
        <f t="shared" si="5"/>
        <v>104.2</v>
      </c>
      <c r="AM7" s="1">
        <f t="shared" si="6"/>
        <v>103.6</v>
      </c>
      <c r="AN7" s="1">
        <f t="shared" si="7"/>
        <v>104.4</v>
      </c>
    </row>
    <row r="8" spans="1:40" x14ac:dyDescent="0.3">
      <c r="A8" s="1" t="s">
        <v>30</v>
      </c>
      <c r="B8" s="1">
        <v>2013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  <c r="AG8" s="1">
        <f t="shared" si="0"/>
        <v>1382.2</v>
      </c>
      <c r="AH8" s="1">
        <f t="shared" si="1"/>
        <v>106.5</v>
      </c>
      <c r="AI8" s="1">
        <f t="shared" si="2"/>
        <v>321.89999999999998</v>
      </c>
      <c r="AJ8" s="1">
        <f t="shared" si="3"/>
        <v>211.7</v>
      </c>
      <c r="AK8" s="1">
        <f t="shared" si="4"/>
        <v>313.3</v>
      </c>
      <c r="AL8" s="1">
        <f t="shared" si="5"/>
        <v>104.6</v>
      </c>
      <c r="AM8" s="1">
        <f t="shared" si="6"/>
        <v>104</v>
      </c>
      <c r="AN8" s="1">
        <f t="shared" si="7"/>
        <v>104.6</v>
      </c>
    </row>
    <row r="9" spans="1:40" x14ac:dyDescent="0.3">
      <c r="A9" s="1" t="s">
        <v>33</v>
      </c>
      <c r="B9" s="1">
        <v>2013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 s="1">
        <v>100.4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  <c r="AG9" s="1">
        <f t="shared" si="0"/>
        <v>1386.8</v>
      </c>
      <c r="AH9" s="1">
        <f t="shared" si="1"/>
        <v>106.8</v>
      </c>
      <c r="AI9" s="1">
        <f t="shared" si="2"/>
        <v>320.2</v>
      </c>
      <c r="AJ9" s="1">
        <f t="shared" si="3"/>
        <v>312.10000000000002</v>
      </c>
      <c r="AK9" s="1">
        <f t="shared" si="4"/>
        <v>313.2</v>
      </c>
      <c r="AL9" s="1">
        <f t="shared" si="5"/>
        <v>105.5</v>
      </c>
      <c r="AM9" s="1">
        <f t="shared" si="6"/>
        <v>103.5</v>
      </c>
      <c r="AN9" s="1">
        <f t="shared" si="7"/>
        <v>104.9</v>
      </c>
    </row>
    <row r="10" spans="1:40" x14ac:dyDescent="0.3">
      <c r="A10" s="1" t="s">
        <v>34</v>
      </c>
      <c r="B10" s="1">
        <v>2013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  <c r="AG10" s="1">
        <f t="shared" si="0"/>
        <v>1384.0000000000002</v>
      </c>
      <c r="AH10" s="1">
        <f t="shared" si="1"/>
        <v>106.6</v>
      </c>
      <c r="AI10" s="1">
        <f t="shared" si="2"/>
        <v>321.2</v>
      </c>
      <c r="AJ10" s="1">
        <f t="shared" si="3"/>
        <v>312.10000000000002</v>
      </c>
      <c r="AK10" s="1">
        <f t="shared" si="4"/>
        <v>313.2</v>
      </c>
      <c r="AL10" s="1">
        <f t="shared" si="5"/>
        <v>105.1</v>
      </c>
      <c r="AM10" s="1">
        <f t="shared" si="6"/>
        <v>103.7</v>
      </c>
      <c r="AN10" s="1">
        <f t="shared" si="7"/>
        <v>104.7</v>
      </c>
    </row>
    <row r="11" spans="1:40" x14ac:dyDescent="0.3">
      <c r="A11" s="1" t="s">
        <v>30</v>
      </c>
      <c r="B11" s="1">
        <v>2013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  <c r="AG11" s="1">
        <f t="shared" si="0"/>
        <v>1385.8</v>
      </c>
      <c r="AH11" s="1">
        <f t="shared" si="1"/>
        <v>107.1</v>
      </c>
      <c r="AI11" s="1">
        <f t="shared" si="2"/>
        <v>323.5</v>
      </c>
      <c r="AJ11" s="1">
        <f t="shared" si="3"/>
        <v>212.6</v>
      </c>
      <c r="AK11" s="1">
        <f t="shared" si="4"/>
        <v>312.59999999999997</v>
      </c>
      <c r="AL11" s="1">
        <f t="shared" si="5"/>
        <v>104.4</v>
      </c>
      <c r="AM11" s="1">
        <f t="shared" si="6"/>
        <v>104.5</v>
      </c>
      <c r="AN11" s="1">
        <f t="shared" si="7"/>
        <v>104.6</v>
      </c>
    </row>
    <row r="12" spans="1:40" x14ac:dyDescent="0.3">
      <c r="A12" s="1" t="s">
        <v>33</v>
      </c>
      <c r="B12" s="1">
        <v>2013</v>
      </c>
      <c r="C12" s="1" t="s">
        <v>37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  <c r="AG12" s="1">
        <f t="shared" si="0"/>
        <v>1397.6999999999998</v>
      </c>
      <c r="AH12" s="1">
        <f t="shared" si="1"/>
        <v>108.5</v>
      </c>
      <c r="AI12" s="1">
        <f t="shared" si="2"/>
        <v>322</v>
      </c>
      <c r="AJ12" s="1">
        <f t="shared" si="3"/>
        <v>313.39999999999998</v>
      </c>
      <c r="AK12" s="1">
        <f t="shared" si="4"/>
        <v>314.10000000000002</v>
      </c>
      <c r="AL12" s="1">
        <f t="shared" si="5"/>
        <v>105</v>
      </c>
      <c r="AM12" s="1">
        <f t="shared" si="6"/>
        <v>104</v>
      </c>
      <c r="AN12" s="1">
        <f t="shared" si="7"/>
        <v>105.1</v>
      </c>
    </row>
    <row r="13" spans="1:40" x14ac:dyDescent="0.3">
      <c r="A13" s="1" t="s">
        <v>34</v>
      </c>
      <c r="B13" s="1">
        <v>2013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  <c r="AG13" s="1">
        <f t="shared" si="0"/>
        <v>1390.2</v>
      </c>
      <c r="AH13" s="1">
        <f t="shared" si="1"/>
        <v>107.5</v>
      </c>
      <c r="AI13" s="1">
        <f t="shared" si="2"/>
        <v>322.89999999999998</v>
      </c>
      <c r="AJ13" s="1">
        <f t="shared" si="3"/>
        <v>313.3</v>
      </c>
      <c r="AK13" s="1">
        <f t="shared" si="4"/>
        <v>313.20000000000005</v>
      </c>
      <c r="AL13" s="1">
        <f t="shared" si="5"/>
        <v>104.7</v>
      </c>
      <c r="AM13" s="1">
        <f t="shared" si="6"/>
        <v>104.2</v>
      </c>
      <c r="AN13" s="1">
        <f t="shared" si="7"/>
        <v>104.8</v>
      </c>
    </row>
    <row r="14" spans="1:40" x14ac:dyDescent="0.3">
      <c r="A14" s="1" t="s">
        <v>30</v>
      </c>
      <c r="B14" s="1">
        <v>2013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  <c r="AG14" s="1">
        <f t="shared" si="0"/>
        <v>1394</v>
      </c>
      <c r="AH14" s="1">
        <f t="shared" si="1"/>
        <v>108.1</v>
      </c>
      <c r="AI14" s="1">
        <f t="shared" si="2"/>
        <v>325.29999999999995</v>
      </c>
      <c r="AJ14" s="1">
        <f t="shared" si="3"/>
        <v>214.3</v>
      </c>
      <c r="AK14" s="1">
        <f t="shared" si="4"/>
        <v>313.29999999999995</v>
      </c>
      <c r="AL14" s="1">
        <f t="shared" si="5"/>
        <v>104.1</v>
      </c>
      <c r="AM14" s="1">
        <f t="shared" si="6"/>
        <v>105</v>
      </c>
      <c r="AN14" s="1">
        <f t="shared" si="7"/>
        <v>104.8</v>
      </c>
    </row>
    <row r="15" spans="1:40" x14ac:dyDescent="0.3">
      <c r="A15" s="1" t="s">
        <v>33</v>
      </c>
      <c r="B15" s="1">
        <v>2013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  <c r="AG15" s="1">
        <f t="shared" si="0"/>
        <v>1417.1999999999998</v>
      </c>
      <c r="AH15" s="1">
        <f t="shared" si="1"/>
        <v>109.8</v>
      </c>
      <c r="AI15" s="1">
        <f t="shared" si="2"/>
        <v>323.5</v>
      </c>
      <c r="AJ15" s="1">
        <f t="shared" si="3"/>
        <v>314.79999999999995</v>
      </c>
      <c r="AK15" s="1">
        <f t="shared" si="4"/>
        <v>314.5</v>
      </c>
      <c r="AL15" s="1">
        <f t="shared" si="5"/>
        <v>103.9</v>
      </c>
      <c r="AM15" s="1">
        <f t="shared" si="6"/>
        <v>104.6</v>
      </c>
      <c r="AN15" s="1">
        <f t="shared" si="7"/>
        <v>104.9</v>
      </c>
    </row>
    <row r="16" spans="1:40" x14ac:dyDescent="0.3">
      <c r="A16" s="1" t="s">
        <v>34</v>
      </c>
      <c r="B16" s="1">
        <v>2013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  <c r="AG16" s="1">
        <f t="shared" si="0"/>
        <v>1402.1999999999998</v>
      </c>
      <c r="AH16" s="1">
        <f t="shared" si="1"/>
        <v>108.6</v>
      </c>
      <c r="AI16" s="1">
        <f t="shared" si="2"/>
        <v>324.60000000000002</v>
      </c>
      <c r="AJ16" s="1">
        <f t="shared" si="3"/>
        <v>314.8</v>
      </c>
      <c r="AK16" s="1">
        <f t="shared" si="4"/>
        <v>313.8</v>
      </c>
      <c r="AL16" s="1">
        <f t="shared" si="5"/>
        <v>104</v>
      </c>
      <c r="AM16" s="1">
        <f t="shared" si="6"/>
        <v>104.8</v>
      </c>
      <c r="AN16" s="1">
        <f t="shared" si="7"/>
        <v>104.8</v>
      </c>
    </row>
    <row r="17" spans="1:40" x14ac:dyDescent="0.3">
      <c r="A17" s="1" t="s">
        <v>30</v>
      </c>
      <c r="B17" s="1">
        <v>2013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  <c r="AG17" s="1">
        <f t="shared" si="0"/>
        <v>1420</v>
      </c>
      <c r="AH17" s="1">
        <f t="shared" si="1"/>
        <v>109</v>
      </c>
      <c r="AI17" s="1">
        <f t="shared" si="2"/>
        <v>328</v>
      </c>
      <c r="AJ17" s="1">
        <f t="shared" si="3"/>
        <v>216</v>
      </c>
      <c r="AK17" s="1">
        <f t="shared" si="4"/>
        <v>315.3</v>
      </c>
      <c r="AL17" s="1">
        <f t="shared" si="5"/>
        <v>105</v>
      </c>
      <c r="AM17" s="1">
        <f t="shared" si="6"/>
        <v>105.6</v>
      </c>
      <c r="AN17" s="1">
        <f t="shared" si="7"/>
        <v>105.5</v>
      </c>
    </row>
    <row r="18" spans="1:40" x14ac:dyDescent="0.3">
      <c r="A18" s="1" t="s">
        <v>33</v>
      </c>
      <c r="B18" s="1">
        <v>2013</v>
      </c>
      <c r="C18" s="1" t="s">
        <v>39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  <c r="AG18" s="1">
        <f t="shared" si="0"/>
        <v>1464.6000000000001</v>
      </c>
      <c r="AH18" s="1">
        <f t="shared" si="1"/>
        <v>110.9</v>
      </c>
      <c r="AI18" s="1">
        <f t="shared" si="2"/>
        <v>325.3</v>
      </c>
      <c r="AJ18" s="1">
        <f t="shared" si="3"/>
        <v>322.3</v>
      </c>
      <c r="AK18" s="1">
        <f t="shared" si="4"/>
        <v>317.89999999999998</v>
      </c>
      <c r="AL18" s="1">
        <f t="shared" si="5"/>
        <v>105.2</v>
      </c>
      <c r="AM18" s="1">
        <f t="shared" si="6"/>
        <v>105.2</v>
      </c>
      <c r="AN18" s="1">
        <f t="shared" si="7"/>
        <v>106.1</v>
      </c>
    </row>
    <row r="19" spans="1:40" x14ac:dyDescent="0.3">
      <c r="A19" s="1" t="s">
        <v>34</v>
      </c>
      <c r="B19" s="1">
        <v>2013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  <c r="AG19" s="1">
        <f t="shared" si="0"/>
        <v>1436</v>
      </c>
      <c r="AH19" s="1">
        <f t="shared" si="1"/>
        <v>109.5</v>
      </c>
      <c r="AI19" s="1">
        <f t="shared" si="2"/>
        <v>326.89999999999998</v>
      </c>
      <c r="AJ19" s="1">
        <f t="shared" si="3"/>
        <v>322.5</v>
      </c>
      <c r="AK19" s="1">
        <f t="shared" si="4"/>
        <v>316.60000000000002</v>
      </c>
      <c r="AL19" s="1">
        <f t="shared" si="5"/>
        <v>105.1</v>
      </c>
      <c r="AM19" s="1">
        <f t="shared" si="6"/>
        <v>105.4</v>
      </c>
      <c r="AN19" s="1">
        <f t="shared" si="7"/>
        <v>105.8</v>
      </c>
    </row>
    <row r="20" spans="1:40" x14ac:dyDescent="0.3">
      <c r="A20" s="1" t="s">
        <v>30</v>
      </c>
      <c r="B20" s="1">
        <v>2013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  <c r="AG20" s="1">
        <f t="shared" si="0"/>
        <v>1445.8999999999996</v>
      </c>
      <c r="AH20" s="1">
        <f t="shared" si="1"/>
        <v>109.8</v>
      </c>
      <c r="AI20" s="1">
        <f t="shared" si="2"/>
        <v>330.3</v>
      </c>
      <c r="AJ20" s="1">
        <f t="shared" si="3"/>
        <v>217.8</v>
      </c>
      <c r="AK20" s="1">
        <f t="shared" si="4"/>
        <v>317.2</v>
      </c>
      <c r="AL20" s="1">
        <f t="shared" si="5"/>
        <v>106.8</v>
      </c>
      <c r="AM20" s="1">
        <f t="shared" si="6"/>
        <v>106.4</v>
      </c>
      <c r="AN20" s="1">
        <f t="shared" si="7"/>
        <v>106.5</v>
      </c>
    </row>
    <row r="21" spans="1:40" x14ac:dyDescent="0.3">
      <c r="A21" s="1" t="s">
        <v>33</v>
      </c>
      <c r="B21" s="1">
        <v>2013</v>
      </c>
      <c r="C21" s="1" t="s">
        <v>40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  <c r="AG21" s="1">
        <f t="shared" si="0"/>
        <v>1489.4</v>
      </c>
      <c r="AH21" s="1">
        <f t="shared" si="1"/>
        <v>111.7</v>
      </c>
      <c r="AI21" s="1">
        <f t="shared" si="2"/>
        <v>327.10000000000002</v>
      </c>
      <c r="AJ21" s="1">
        <f t="shared" si="3"/>
        <v>324.39999999999998</v>
      </c>
      <c r="AK21" s="1">
        <f t="shared" si="4"/>
        <v>320.39999999999998</v>
      </c>
      <c r="AL21" s="1">
        <f t="shared" si="5"/>
        <v>107.3</v>
      </c>
      <c r="AM21" s="1">
        <f t="shared" si="6"/>
        <v>105.9</v>
      </c>
      <c r="AN21" s="1">
        <f t="shared" si="7"/>
        <v>107.3</v>
      </c>
    </row>
    <row r="22" spans="1:40" x14ac:dyDescent="0.3">
      <c r="A22" s="1" t="s">
        <v>34</v>
      </c>
      <c r="B22" s="1">
        <v>2013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 s="1">
        <v>107.7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  <c r="AG22" s="1">
        <f t="shared" si="0"/>
        <v>1461.3999999999999</v>
      </c>
      <c r="AH22" s="1">
        <f t="shared" si="1"/>
        <v>110.3</v>
      </c>
      <c r="AI22" s="1">
        <f t="shared" si="2"/>
        <v>329</v>
      </c>
      <c r="AJ22" s="1">
        <f t="shared" si="3"/>
        <v>325.10000000000002</v>
      </c>
      <c r="AK22" s="1">
        <f t="shared" si="4"/>
        <v>318.89999999999998</v>
      </c>
      <c r="AL22" s="1">
        <f t="shared" si="5"/>
        <v>107.1</v>
      </c>
      <c r="AM22" s="1">
        <f t="shared" si="6"/>
        <v>106.1</v>
      </c>
      <c r="AN22" s="1">
        <f t="shared" si="7"/>
        <v>106.9</v>
      </c>
    </row>
    <row r="23" spans="1:40" x14ac:dyDescent="0.3">
      <c r="A23" s="1" t="s">
        <v>30</v>
      </c>
      <c r="B23" s="1">
        <v>2013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  <c r="AG23" s="1">
        <f t="shared" si="0"/>
        <v>1462.5</v>
      </c>
      <c r="AH23" s="1">
        <f t="shared" si="1"/>
        <v>110.7</v>
      </c>
      <c r="AI23" s="1">
        <f t="shared" si="2"/>
        <v>332.6</v>
      </c>
      <c r="AJ23" s="1">
        <f t="shared" si="3"/>
        <v>218.60000000000002</v>
      </c>
      <c r="AK23" s="1">
        <f t="shared" si="4"/>
        <v>321.2</v>
      </c>
      <c r="AL23" s="1">
        <f t="shared" si="5"/>
        <v>107.8</v>
      </c>
      <c r="AM23" s="1">
        <f t="shared" si="6"/>
        <v>106.8</v>
      </c>
      <c r="AN23" s="1">
        <f t="shared" si="7"/>
        <v>107.5</v>
      </c>
    </row>
    <row r="24" spans="1:40" x14ac:dyDescent="0.3">
      <c r="A24" s="1" t="s">
        <v>33</v>
      </c>
      <c r="B24" s="1">
        <v>2013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  <c r="AG24" s="1">
        <f t="shared" si="0"/>
        <v>1506.1000000000001</v>
      </c>
      <c r="AH24" s="1">
        <f t="shared" si="1"/>
        <v>112.4</v>
      </c>
      <c r="AI24" s="1">
        <f t="shared" si="2"/>
        <v>329.09999999999997</v>
      </c>
      <c r="AJ24" s="1">
        <f t="shared" si="3"/>
        <v>326.89999999999998</v>
      </c>
      <c r="AK24" s="1">
        <f t="shared" si="4"/>
        <v>324.39999999999998</v>
      </c>
      <c r="AL24" s="1">
        <f t="shared" si="5"/>
        <v>108.1</v>
      </c>
      <c r="AM24" s="1">
        <f t="shared" si="6"/>
        <v>106.5</v>
      </c>
      <c r="AN24" s="1">
        <f t="shared" si="7"/>
        <v>108.3</v>
      </c>
    </row>
    <row r="25" spans="1:40" x14ac:dyDescent="0.3">
      <c r="A25" s="1" t="s">
        <v>34</v>
      </c>
      <c r="B25" s="1">
        <v>2013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  <c r="AG25" s="1">
        <f t="shared" si="0"/>
        <v>1477.4</v>
      </c>
      <c r="AH25" s="1">
        <f t="shared" si="1"/>
        <v>111.2</v>
      </c>
      <c r="AI25" s="1">
        <f t="shared" si="2"/>
        <v>331.1</v>
      </c>
      <c r="AJ25" s="1">
        <f t="shared" si="3"/>
        <v>327.3</v>
      </c>
      <c r="AK25" s="1">
        <f t="shared" si="4"/>
        <v>322.8</v>
      </c>
      <c r="AL25" s="1">
        <f t="shared" si="5"/>
        <v>108</v>
      </c>
      <c r="AM25" s="1">
        <f t="shared" si="6"/>
        <v>106.6</v>
      </c>
      <c r="AN25" s="1">
        <f t="shared" si="7"/>
        <v>107.9</v>
      </c>
    </row>
    <row r="26" spans="1:40" x14ac:dyDescent="0.3">
      <c r="A26" s="1" t="s">
        <v>30</v>
      </c>
      <c r="B26" s="1">
        <v>2013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  <c r="AG26" s="1">
        <f t="shared" si="0"/>
        <v>1488.5000000000002</v>
      </c>
      <c r="AH26" s="1">
        <f t="shared" si="1"/>
        <v>111.7</v>
      </c>
      <c r="AI26" s="1">
        <f t="shared" si="2"/>
        <v>336.6</v>
      </c>
      <c r="AJ26" s="1">
        <f t="shared" si="3"/>
        <v>220.7</v>
      </c>
      <c r="AK26" s="1">
        <f t="shared" si="4"/>
        <v>324.8</v>
      </c>
      <c r="AL26" s="1">
        <f t="shared" si="5"/>
        <v>109.3</v>
      </c>
      <c r="AM26" s="1">
        <f t="shared" si="6"/>
        <v>107.7</v>
      </c>
      <c r="AN26" s="1">
        <f t="shared" si="7"/>
        <v>108.7</v>
      </c>
    </row>
    <row r="27" spans="1:40" x14ac:dyDescent="0.3">
      <c r="A27" s="1" t="s">
        <v>33</v>
      </c>
      <c r="B27" s="1">
        <v>2013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  <c r="AG27" s="1">
        <f t="shared" si="0"/>
        <v>1500.4</v>
      </c>
      <c r="AH27" s="1">
        <f t="shared" si="1"/>
        <v>112.9</v>
      </c>
      <c r="AI27" s="1">
        <f t="shared" si="2"/>
        <v>331.5</v>
      </c>
      <c r="AJ27" s="1">
        <f t="shared" si="3"/>
        <v>328.79999999999995</v>
      </c>
      <c r="AK27" s="1">
        <f t="shared" si="4"/>
        <v>326</v>
      </c>
      <c r="AL27" s="1">
        <f t="shared" si="5"/>
        <v>110.4</v>
      </c>
      <c r="AM27" s="1">
        <f t="shared" si="6"/>
        <v>107.4</v>
      </c>
      <c r="AN27" s="1">
        <f t="shared" si="7"/>
        <v>109.4</v>
      </c>
    </row>
    <row r="28" spans="1:40" x14ac:dyDescent="0.3">
      <c r="A28" s="1" t="s">
        <v>34</v>
      </c>
      <c r="B28" s="1">
        <v>2013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  <c r="AG28" s="1">
        <f t="shared" si="0"/>
        <v>1491.6999999999998</v>
      </c>
      <c r="AH28" s="1">
        <f t="shared" si="1"/>
        <v>112</v>
      </c>
      <c r="AI28" s="1">
        <f t="shared" si="2"/>
        <v>334.5</v>
      </c>
      <c r="AJ28" s="1">
        <f t="shared" si="3"/>
        <v>329.79999999999995</v>
      </c>
      <c r="AK28" s="1">
        <f t="shared" si="4"/>
        <v>325.5</v>
      </c>
      <c r="AL28" s="1">
        <f t="shared" si="5"/>
        <v>109.9</v>
      </c>
      <c r="AM28" s="1">
        <f t="shared" si="6"/>
        <v>107.5</v>
      </c>
      <c r="AN28" s="1">
        <f t="shared" si="7"/>
        <v>109</v>
      </c>
    </row>
    <row r="29" spans="1:40" x14ac:dyDescent="0.3">
      <c r="A29" s="1" t="s">
        <v>30</v>
      </c>
      <c r="B29" s="1">
        <v>2013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  <c r="AG29" s="1">
        <f t="shared" si="0"/>
        <v>1508</v>
      </c>
      <c r="AH29" s="1">
        <f t="shared" si="1"/>
        <v>112.2</v>
      </c>
      <c r="AI29" s="1">
        <f t="shared" si="2"/>
        <v>339.29999999999995</v>
      </c>
      <c r="AJ29" s="1">
        <f t="shared" si="3"/>
        <v>222</v>
      </c>
      <c r="AK29" s="1">
        <f t="shared" si="4"/>
        <v>326.60000000000002</v>
      </c>
      <c r="AL29" s="1">
        <f t="shared" si="5"/>
        <v>109.3</v>
      </c>
      <c r="AM29" s="1">
        <f t="shared" si="6"/>
        <v>108.3</v>
      </c>
      <c r="AN29" s="1">
        <f t="shared" si="7"/>
        <v>109.1</v>
      </c>
    </row>
    <row r="30" spans="1:40" x14ac:dyDescent="0.3">
      <c r="A30" s="1" t="s">
        <v>33</v>
      </c>
      <c r="B30" s="1">
        <v>2013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  <c r="AG30" s="1">
        <f t="shared" si="0"/>
        <v>1517.1999999999998</v>
      </c>
      <c r="AH30" s="1">
        <f t="shared" si="1"/>
        <v>113.5</v>
      </c>
      <c r="AI30" s="1">
        <f t="shared" si="2"/>
        <v>334.2</v>
      </c>
      <c r="AJ30" s="1">
        <f t="shared" si="3"/>
        <v>330.4</v>
      </c>
      <c r="AK30" s="1">
        <f t="shared" si="4"/>
        <v>326.8</v>
      </c>
      <c r="AL30" s="1">
        <f t="shared" si="5"/>
        <v>109.7</v>
      </c>
      <c r="AM30" s="1">
        <f t="shared" si="6"/>
        <v>108</v>
      </c>
      <c r="AN30" s="1">
        <f t="shared" si="7"/>
        <v>109.4</v>
      </c>
    </row>
    <row r="31" spans="1:40" x14ac:dyDescent="0.3">
      <c r="A31" s="1" t="s">
        <v>34</v>
      </c>
      <c r="B31" s="1">
        <v>2013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  <c r="AG31" s="1">
        <f t="shared" si="0"/>
        <v>1510.2000000000003</v>
      </c>
      <c r="AH31" s="1">
        <f t="shared" si="1"/>
        <v>112.5</v>
      </c>
      <c r="AI31" s="1">
        <f t="shared" si="2"/>
        <v>337.2</v>
      </c>
      <c r="AJ31" s="1">
        <f t="shared" si="3"/>
        <v>331.7</v>
      </c>
      <c r="AK31" s="1">
        <f t="shared" si="4"/>
        <v>326.79999999999995</v>
      </c>
      <c r="AL31" s="1">
        <f t="shared" si="5"/>
        <v>109.5</v>
      </c>
      <c r="AM31" s="1">
        <f t="shared" si="6"/>
        <v>108.1</v>
      </c>
      <c r="AN31" s="1">
        <f t="shared" si="7"/>
        <v>109.2</v>
      </c>
    </row>
    <row r="32" spans="1:40" x14ac:dyDescent="0.3">
      <c r="A32" s="1" t="s">
        <v>30</v>
      </c>
      <c r="B32" s="1">
        <v>2013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  <c r="AG32" s="1">
        <f t="shared" si="0"/>
        <v>1536.8</v>
      </c>
      <c r="AH32" s="1">
        <f t="shared" si="1"/>
        <v>112.8</v>
      </c>
      <c r="AI32" s="1">
        <f t="shared" si="2"/>
        <v>342.1</v>
      </c>
      <c r="AJ32" s="1">
        <f t="shared" si="3"/>
        <v>223.89999999999998</v>
      </c>
      <c r="AK32" s="1">
        <f t="shared" si="4"/>
        <v>328.9</v>
      </c>
      <c r="AL32" s="1">
        <f t="shared" si="5"/>
        <v>109.6</v>
      </c>
      <c r="AM32" s="1">
        <f t="shared" si="6"/>
        <v>108.7</v>
      </c>
      <c r="AN32" s="1">
        <f t="shared" si="7"/>
        <v>109.8</v>
      </c>
    </row>
    <row r="33" spans="1:40" x14ac:dyDescent="0.3">
      <c r="A33" s="1" t="s">
        <v>33</v>
      </c>
      <c r="B33" s="1">
        <v>2013</v>
      </c>
      <c r="C33" s="1" t="s">
        <v>45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 s="1">
        <v>111.1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  <c r="AG33" s="1">
        <f t="shared" si="0"/>
        <v>1544.6</v>
      </c>
      <c r="AH33" s="1">
        <f t="shared" si="1"/>
        <v>114.1</v>
      </c>
      <c r="AI33" s="1">
        <f t="shared" si="2"/>
        <v>336.8</v>
      </c>
      <c r="AJ33" s="1">
        <f t="shared" si="3"/>
        <v>332</v>
      </c>
      <c r="AK33" s="1">
        <f t="shared" si="4"/>
        <v>327.79999999999995</v>
      </c>
      <c r="AL33" s="1">
        <f t="shared" si="5"/>
        <v>109.5</v>
      </c>
      <c r="AM33" s="1">
        <f t="shared" si="6"/>
        <v>108.5</v>
      </c>
      <c r="AN33" s="1">
        <f t="shared" si="7"/>
        <v>109.6</v>
      </c>
    </row>
    <row r="34" spans="1:40" x14ac:dyDescent="0.3">
      <c r="A34" s="1" t="s">
        <v>34</v>
      </c>
      <c r="B34" s="1">
        <v>2013</v>
      </c>
      <c r="C34" s="1" t="s">
        <v>45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  <c r="AG34" s="1">
        <f t="shared" si="0"/>
        <v>1538.8</v>
      </c>
      <c r="AH34" s="1">
        <f t="shared" si="1"/>
        <v>113.1</v>
      </c>
      <c r="AI34" s="1">
        <f t="shared" si="2"/>
        <v>339.90000000000003</v>
      </c>
      <c r="AJ34" s="1">
        <f t="shared" si="3"/>
        <v>333.79999999999995</v>
      </c>
      <c r="AK34" s="1">
        <f t="shared" si="4"/>
        <v>328.6</v>
      </c>
      <c r="AL34" s="1">
        <f t="shared" si="5"/>
        <v>109.5</v>
      </c>
      <c r="AM34" s="1">
        <f t="shared" si="6"/>
        <v>108.6</v>
      </c>
      <c r="AN34" s="1">
        <f t="shared" si="7"/>
        <v>109.7</v>
      </c>
    </row>
    <row r="35" spans="1:40" x14ac:dyDescent="0.3">
      <c r="A35" s="1" t="s">
        <v>30</v>
      </c>
      <c r="B35" s="1">
        <v>2013</v>
      </c>
      <c r="C35" s="1" t="s">
        <v>46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  <c r="AG35" s="1">
        <f t="shared" si="0"/>
        <v>1509</v>
      </c>
      <c r="AH35" s="1">
        <f t="shared" si="1"/>
        <v>113.6</v>
      </c>
      <c r="AI35" s="1">
        <f t="shared" si="2"/>
        <v>345.3</v>
      </c>
      <c r="AJ35" s="1">
        <f t="shared" si="3"/>
        <v>224.89999999999998</v>
      </c>
      <c r="AK35" s="1">
        <f t="shared" si="4"/>
        <v>329.79999999999995</v>
      </c>
      <c r="AL35" s="1">
        <f t="shared" si="5"/>
        <v>109.9</v>
      </c>
      <c r="AM35" s="1">
        <f t="shared" si="6"/>
        <v>109.2</v>
      </c>
      <c r="AN35" s="1">
        <f t="shared" si="7"/>
        <v>110.1</v>
      </c>
    </row>
    <row r="36" spans="1:40" x14ac:dyDescent="0.3">
      <c r="A36" s="1" t="s">
        <v>33</v>
      </c>
      <c r="B36" s="1">
        <v>2013</v>
      </c>
      <c r="C36" s="1" t="s">
        <v>46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  <c r="AG36" s="1">
        <f t="shared" si="0"/>
        <v>1504.4</v>
      </c>
      <c r="AH36" s="1">
        <f t="shared" si="1"/>
        <v>115</v>
      </c>
      <c r="AI36" s="1">
        <f t="shared" si="2"/>
        <v>338.8</v>
      </c>
      <c r="AJ36" s="1">
        <f t="shared" si="3"/>
        <v>332.40000000000003</v>
      </c>
      <c r="AK36" s="1">
        <f t="shared" si="4"/>
        <v>328.1</v>
      </c>
      <c r="AL36" s="1">
        <f t="shared" si="5"/>
        <v>109.7</v>
      </c>
      <c r="AM36" s="1">
        <f t="shared" si="6"/>
        <v>108.9</v>
      </c>
      <c r="AN36" s="1">
        <f t="shared" si="7"/>
        <v>109.8</v>
      </c>
    </row>
    <row r="37" spans="1:40" x14ac:dyDescent="0.3">
      <c r="A37" s="1" t="s">
        <v>34</v>
      </c>
      <c r="B37" s="1">
        <v>2013</v>
      </c>
      <c r="C37" s="1" t="s">
        <v>46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  <c r="AG37" s="1">
        <f t="shared" si="0"/>
        <v>1507.3000000000002</v>
      </c>
      <c r="AH37" s="1">
        <f t="shared" si="1"/>
        <v>114</v>
      </c>
      <c r="AI37" s="1">
        <f t="shared" si="2"/>
        <v>342.7</v>
      </c>
      <c r="AJ37" s="1">
        <f t="shared" si="3"/>
        <v>334.3</v>
      </c>
      <c r="AK37" s="1">
        <f t="shared" si="4"/>
        <v>329.1</v>
      </c>
      <c r="AL37" s="1">
        <f t="shared" si="5"/>
        <v>109.8</v>
      </c>
      <c r="AM37" s="1">
        <f t="shared" si="6"/>
        <v>109</v>
      </c>
      <c r="AN37" s="1">
        <f t="shared" si="7"/>
        <v>110</v>
      </c>
    </row>
    <row r="38" spans="1:40" x14ac:dyDescent="0.3">
      <c r="A38" s="1" t="s">
        <v>30</v>
      </c>
      <c r="B38" s="1">
        <v>2014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  <c r="AG38" s="1">
        <f t="shared" si="0"/>
        <v>1486.6000000000001</v>
      </c>
      <c r="AH38" s="1">
        <f t="shared" si="1"/>
        <v>114</v>
      </c>
      <c r="AI38" s="1">
        <f t="shared" si="2"/>
        <v>347.2</v>
      </c>
      <c r="AJ38" s="1">
        <f t="shared" si="3"/>
        <v>225.6</v>
      </c>
      <c r="AK38" s="1">
        <f t="shared" si="4"/>
        <v>330.7</v>
      </c>
      <c r="AL38" s="1">
        <f t="shared" si="5"/>
        <v>110.5</v>
      </c>
      <c r="AM38" s="1">
        <f t="shared" si="6"/>
        <v>109.6</v>
      </c>
      <c r="AN38" s="1">
        <f t="shared" si="7"/>
        <v>110.6</v>
      </c>
    </row>
    <row r="39" spans="1:40" x14ac:dyDescent="0.3">
      <c r="A39" s="1" t="s">
        <v>33</v>
      </c>
      <c r="B39" s="1">
        <v>2014</v>
      </c>
      <c r="C39" s="1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  <c r="AG39" s="1">
        <f t="shared" si="0"/>
        <v>1484.3</v>
      </c>
      <c r="AH39" s="1">
        <f t="shared" si="1"/>
        <v>115.7</v>
      </c>
      <c r="AI39" s="1">
        <f t="shared" si="2"/>
        <v>340.4</v>
      </c>
      <c r="AJ39" s="1">
        <f t="shared" si="3"/>
        <v>334.5</v>
      </c>
      <c r="AK39" s="1">
        <f t="shared" si="4"/>
        <v>329.2</v>
      </c>
      <c r="AL39" s="1">
        <f t="shared" si="5"/>
        <v>110.8</v>
      </c>
      <c r="AM39" s="1">
        <f t="shared" si="6"/>
        <v>109.8</v>
      </c>
      <c r="AN39" s="1">
        <f t="shared" si="7"/>
        <v>110.5</v>
      </c>
    </row>
    <row r="40" spans="1:40" x14ac:dyDescent="0.3">
      <c r="A40" s="1" t="s">
        <v>34</v>
      </c>
      <c r="B40" s="1">
        <v>2014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  <c r="AG40" s="1">
        <f t="shared" si="0"/>
        <v>1485.7999999999997</v>
      </c>
      <c r="AH40" s="1">
        <f t="shared" si="1"/>
        <v>114.5</v>
      </c>
      <c r="AI40" s="1">
        <f t="shared" si="2"/>
        <v>344.4</v>
      </c>
      <c r="AJ40" s="1">
        <f t="shared" si="3"/>
        <v>336.1</v>
      </c>
      <c r="AK40" s="1">
        <f t="shared" si="4"/>
        <v>330.09999999999997</v>
      </c>
      <c r="AL40" s="1">
        <f t="shared" si="5"/>
        <v>110.7</v>
      </c>
      <c r="AM40" s="1">
        <f t="shared" si="6"/>
        <v>109.7</v>
      </c>
      <c r="AN40" s="1">
        <f t="shared" si="7"/>
        <v>110.6</v>
      </c>
    </row>
    <row r="41" spans="1:40" x14ac:dyDescent="0.3">
      <c r="A41" s="1" t="s">
        <v>30</v>
      </c>
      <c r="B41" s="1">
        <v>2014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  <c r="AG41" s="1">
        <f t="shared" si="0"/>
        <v>1482.2</v>
      </c>
      <c r="AH41" s="1">
        <f t="shared" si="1"/>
        <v>114.2</v>
      </c>
      <c r="AI41" s="1">
        <f t="shared" si="2"/>
        <v>348.3</v>
      </c>
      <c r="AJ41" s="1">
        <f t="shared" si="3"/>
        <v>226.10000000000002</v>
      </c>
      <c r="AK41" s="1">
        <f t="shared" si="4"/>
        <v>331.6</v>
      </c>
      <c r="AL41" s="1">
        <f t="shared" si="5"/>
        <v>110.8</v>
      </c>
      <c r="AM41" s="1">
        <f t="shared" si="6"/>
        <v>109.9</v>
      </c>
      <c r="AN41" s="1">
        <f t="shared" si="7"/>
        <v>110.9</v>
      </c>
    </row>
    <row r="42" spans="1:40" x14ac:dyDescent="0.3">
      <c r="A42" s="1" t="s">
        <v>33</v>
      </c>
      <c r="B42" s="1">
        <v>2014</v>
      </c>
      <c r="C42" s="1" t="s">
        <v>35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  <c r="AG42" s="1">
        <f t="shared" si="0"/>
        <v>1476</v>
      </c>
      <c r="AH42" s="1">
        <f t="shared" si="1"/>
        <v>116.2</v>
      </c>
      <c r="AI42" s="1">
        <f t="shared" si="2"/>
        <v>341.7</v>
      </c>
      <c r="AJ42" s="1">
        <f t="shared" si="3"/>
        <v>336.2</v>
      </c>
      <c r="AK42" s="1">
        <f t="shared" si="4"/>
        <v>330.7</v>
      </c>
      <c r="AL42" s="1">
        <f t="shared" si="5"/>
        <v>111.3</v>
      </c>
      <c r="AM42" s="1">
        <f t="shared" si="6"/>
        <v>110.3</v>
      </c>
      <c r="AN42" s="1">
        <f t="shared" si="7"/>
        <v>111</v>
      </c>
    </row>
    <row r="43" spans="1:40" x14ac:dyDescent="0.3">
      <c r="A43" s="1" t="s">
        <v>34</v>
      </c>
      <c r="B43" s="1">
        <v>2014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  <c r="AG43" s="1">
        <f t="shared" si="0"/>
        <v>1480.1</v>
      </c>
      <c r="AH43" s="1">
        <f t="shared" si="1"/>
        <v>114.7</v>
      </c>
      <c r="AI43" s="1">
        <f t="shared" si="2"/>
        <v>345.6</v>
      </c>
      <c r="AJ43" s="1">
        <f t="shared" si="3"/>
        <v>337.7</v>
      </c>
      <c r="AK43" s="1">
        <f t="shared" si="4"/>
        <v>331.2</v>
      </c>
      <c r="AL43" s="1">
        <f t="shared" si="5"/>
        <v>111.1</v>
      </c>
      <c r="AM43" s="1">
        <f t="shared" si="6"/>
        <v>110.1</v>
      </c>
      <c r="AN43" s="1">
        <f t="shared" si="7"/>
        <v>110.9</v>
      </c>
    </row>
    <row r="44" spans="1:40" x14ac:dyDescent="0.3">
      <c r="A44" s="1" t="s">
        <v>30</v>
      </c>
      <c r="B44" s="1">
        <v>2014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  <c r="AG44" s="1">
        <f t="shared" si="0"/>
        <v>1491.4</v>
      </c>
      <c r="AH44" s="1">
        <f t="shared" si="1"/>
        <v>114.6</v>
      </c>
      <c r="AI44" s="1">
        <f t="shared" si="2"/>
        <v>349.6</v>
      </c>
      <c r="AJ44" s="1">
        <f t="shared" si="3"/>
        <v>226.8</v>
      </c>
      <c r="AK44" s="1">
        <f t="shared" si="4"/>
        <v>332.70000000000005</v>
      </c>
      <c r="AL44" s="1">
        <f t="shared" si="5"/>
        <v>111.2</v>
      </c>
      <c r="AM44" s="1">
        <f t="shared" si="6"/>
        <v>110.2</v>
      </c>
      <c r="AN44" s="1">
        <f t="shared" si="7"/>
        <v>111.3</v>
      </c>
    </row>
    <row r="45" spans="1:40" x14ac:dyDescent="0.3">
      <c r="A45" s="1" t="s">
        <v>33</v>
      </c>
      <c r="B45" s="1">
        <v>2014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  <c r="AG45" s="1">
        <f t="shared" si="0"/>
        <v>1483</v>
      </c>
      <c r="AH45" s="1">
        <f t="shared" si="1"/>
        <v>116.7</v>
      </c>
      <c r="AI45" s="1">
        <f t="shared" si="2"/>
        <v>343.09999999999997</v>
      </c>
      <c r="AJ45" s="1">
        <f t="shared" si="3"/>
        <v>337.1</v>
      </c>
      <c r="AK45" s="1">
        <f t="shared" si="4"/>
        <v>331.8</v>
      </c>
      <c r="AL45" s="1">
        <f t="shared" si="5"/>
        <v>111.6</v>
      </c>
      <c r="AM45" s="1">
        <f t="shared" si="6"/>
        <v>110.9</v>
      </c>
      <c r="AN45" s="1">
        <f t="shared" si="7"/>
        <v>111.4</v>
      </c>
    </row>
    <row r="46" spans="1:40" x14ac:dyDescent="0.3">
      <c r="A46" s="1" t="s">
        <v>34</v>
      </c>
      <c r="B46" s="1">
        <v>2014</v>
      </c>
      <c r="C46" s="1" t="s">
        <v>47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  <c r="AG46" s="1">
        <f t="shared" si="0"/>
        <v>1488.2999999999997</v>
      </c>
      <c r="AH46" s="1">
        <f t="shared" si="1"/>
        <v>115.2</v>
      </c>
      <c r="AI46" s="1">
        <f t="shared" si="2"/>
        <v>346.9</v>
      </c>
      <c r="AJ46" s="1">
        <f t="shared" si="3"/>
        <v>338.9</v>
      </c>
      <c r="AK46" s="1">
        <f t="shared" si="4"/>
        <v>332.2</v>
      </c>
      <c r="AL46" s="1">
        <f t="shared" si="5"/>
        <v>111.4</v>
      </c>
      <c r="AM46" s="1">
        <f t="shared" si="6"/>
        <v>110.6</v>
      </c>
      <c r="AN46" s="1">
        <f t="shared" si="7"/>
        <v>111.3</v>
      </c>
    </row>
    <row r="47" spans="1:40" x14ac:dyDescent="0.3">
      <c r="A47" s="1" t="s">
        <v>30</v>
      </c>
      <c r="B47" s="1">
        <v>2014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  <c r="AG47" s="1">
        <f t="shared" si="0"/>
        <v>1504.1000000000001</v>
      </c>
      <c r="AH47" s="1">
        <f t="shared" si="1"/>
        <v>115.4</v>
      </c>
      <c r="AI47" s="1">
        <f t="shared" si="2"/>
        <v>352</v>
      </c>
      <c r="AJ47" s="1">
        <f t="shared" si="3"/>
        <v>227.10000000000002</v>
      </c>
      <c r="AK47" s="1">
        <f t="shared" si="4"/>
        <v>333.70000000000005</v>
      </c>
      <c r="AL47" s="1">
        <f t="shared" si="5"/>
        <v>111.2</v>
      </c>
      <c r="AM47" s="1">
        <f t="shared" si="6"/>
        <v>110.5</v>
      </c>
      <c r="AN47" s="1">
        <f t="shared" si="7"/>
        <v>111.5</v>
      </c>
    </row>
    <row r="48" spans="1:40" x14ac:dyDescent="0.3">
      <c r="A48" s="1" t="s">
        <v>33</v>
      </c>
      <c r="B48" s="1">
        <v>2014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  <c r="AG48" s="1">
        <f t="shared" si="0"/>
        <v>1504.0000000000002</v>
      </c>
      <c r="AH48" s="1">
        <f t="shared" si="1"/>
        <v>117.6</v>
      </c>
      <c r="AI48" s="1">
        <f t="shared" si="2"/>
        <v>344.5</v>
      </c>
      <c r="AJ48" s="1">
        <f t="shared" si="3"/>
        <v>338.20000000000005</v>
      </c>
      <c r="AK48" s="1">
        <f t="shared" si="4"/>
        <v>332.6</v>
      </c>
      <c r="AL48" s="1">
        <f t="shared" si="5"/>
        <v>111.2</v>
      </c>
      <c r="AM48" s="1">
        <f t="shared" si="6"/>
        <v>111.2</v>
      </c>
      <c r="AN48" s="1">
        <f t="shared" si="7"/>
        <v>111.4</v>
      </c>
    </row>
    <row r="49" spans="1:40" x14ac:dyDescent="0.3">
      <c r="A49" s="1" t="s">
        <v>34</v>
      </c>
      <c r="B49" s="1">
        <v>2014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  <c r="AG49" s="1">
        <f t="shared" si="0"/>
        <v>1504.1</v>
      </c>
      <c r="AH49" s="1">
        <f t="shared" si="1"/>
        <v>116</v>
      </c>
      <c r="AI49" s="1">
        <f t="shared" si="2"/>
        <v>349</v>
      </c>
      <c r="AJ49" s="1">
        <f t="shared" si="3"/>
        <v>340</v>
      </c>
      <c r="AK49" s="1">
        <f t="shared" si="4"/>
        <v>333.2</v>
      </c>
      <c r="AL49" s="1">
        <f t="shared" si="5"/>
        <v>111.2</v>
      </c>
      <c r="AM49" s="1">
        <f t="shared" si="6"/>
        <v>110.9</v>
      </c>
      <c r="AN49" s="1">
        <f t="shared" si="7"/>
        <v>111.5</v>
      </c>
    </row>
    <row r="50" spans="1:40" x14ac:dyDescent="0.3">
      <c r="A50" s="1" t="s">
        <v>30</v>
      </c>
      <c r="B50" s="1">
        <v>2014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  <c r="AG50" s="1">
        <f t="shared" si="0"/>
        <v>1513.8999999999999</v>
      </c>
      <c r="AH50" s="1">
        <f t="shared" si="1"/>
        <v>116.3</v>
      </c>
      <c r="AI50" s="1">
        <f t="shared" si="2"/>
        <v>354</v>
      </c>
      <c r="AJ50" s="1">
        <f t="shared" si="3"/>
        <v>227.5</v>
      </c>
      <c r="AK50" s="1">
        <f t="shared" si="4"/>
        <v>334.1</v>
      </c>
      <c r="AL50" s="1">
        <f t="shared" si="5"/>
        <v>111.4</v>
      </c>
      <c r="AM50" s="1">
        <f t="shared" si="6"/>
        <v>110.9</v>
      </c>
      <c r="AN50" s="1">
        <f t="shared" si="7"/>
        <v>111.8</v>
      </c>
    </row>
    <row r="51" spans="1:40" x14ac:dyDescent="0.3">
      <c r="A51" s="1" t="s">
        <v>33</v>
      </c>
      <c r="B51" s="1">
        <v>2014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  <c r="AG51" s="1">
        <f t="shared" si="0"/>
        <v>1525.3000000000002</v>
      </c>
      <c r="AH51" s="1">
        <f t="shared" si="1"/>
        <v>118.3</v>
      </c>
      <c r="AI51" s="1">
        <f t="shared" si="2"/>
        <v>345.9</v>
      </c>
      <c r="AJ51" s="1">
        <f t="shared" si="3"/>
        <v>339.5</v>
      </c>
      <c r="AK51" s="1">
        <f t="shared" si="4"/>
        <v>333.40000000000003</v>
      </c>
      <c r="AL51" s="1">
        <f t="shared" si="5"/>
        <v>111.3</v>
      </c>
      <c r="AM51" s="1">
        <f t="shared" si="6"/>
        <v>111.5</v>
      </c>
      <c r="AN51" s="1">
        <f t="shared" si="7"/>
        <v>111.7</v>
      </c>
    </row>
    <row r="52" spans="1:40" x14ac:dyDescent="0.3">
      <c r="A52" s="1" t="s">
        <v>34</v>
      </c>
      <c r="B52" s="1">
        <v>2014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  <c r="AG52" s="1">
        <f t="shared" si="0"/>
        <v>1518.5000000000005</v>
      </c>
      <c r="AH52" s="1">
        <f t="shared" si="1"/>
        <v>116.8</v>
      </c>
      <c r="AI52" s="1">
        <f t="shared" si="2"/>
        <v>350.79999999999995</v>
      </c>
      <c r="AJ52" s="1">
        <f t="shared" si="3"/>
        <v>340.9</v>
      </c>
      <c r="AK52" s="1">
        <f t="shared" si="4"/>
        <v>333.9</v>
      </c>
      <c r="AL52" s="1">
        <f t="shared" si="5"/>
        <v>111.3</v>
      </c>
      <c r="AM52" s="1">
        <f t="shared" si="6"/>
        <v>111.2</v>
      </c>
      <c r="AN52" s="1">
        <f t="shared" si="7"/>
        <v>111.8</v>
      </c>
    </row>
    <row r="53" spans="1:40" x14ac:dyDescent="0.3">
      <c r="A53" s="1" t="s">
        <v>30</v>
      </c>
      <c r="B53" s="1">
        <v>2014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  <c r="AG53" s="1">
        <f t="shared" si="0"/>
        <v>1525.6999999999998</v>
      </c>
      <c r="AH53" s="1">
        <f t="shared" si="1"/>
        <v>117.3</v>
      </c>
      <c r="AI53" s="1">
        <f t="shared" si="2"/>
        <v>356.3</v>
      </c>
      <c r="AJ53" s="1">
        <f t="shared" si="3"/>
        <v>229.3</v>
      </c>
      <c r="AK53" s="1">
        <f t="shared" si="4"/>
        <v>335.1</v>
      </c>
      <c r="AL53" s="1">
        <f t="shared" si="5"/>
        <v>112.2</v>
      </c>
      <c r="AM53" s="1">
        <f t="shared" si="6"/>
        <v>111.4</v>
      </c>
      <c r="AN53" s="1">
        <f t="shared" si="7"/>
        <v>112.3</v>
      </c>
    </row>
    <row r="54" spans="1:40" x14ac:dyDescent="0.3">
      <c r="A54" s="1" t="s">
        <v>33</v>
      </c>
      <c r="B54" s="1">
        <v>2014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  <c r="AG54" s="1">
        <f t="shared" si="0"/>
        <v>1547</v>
      </c>
      <c r="AH54" s="1">
        <f t="shared" si="1"/>
        <v>119</v>
      </c>
      <c r="AI54" s="1">
        <f t="shared" si="2"/>
        <v>347.3</v>
      </c>
      <c r="AJ54" s="1">
        <f t="shared" si="3"/>
        <v>339.40000000000003</v>
      </c>
      <c r="AK54" s="1">
        <f t="shared" si="4"/>
        <v>335.2</v>
      </c>
      <c r="AL54" s="1">
        <f t="shared" si="5"/>
        <v>111.5</v>
      </c>
      <c r="AM54" s="1">
        <f t="shared" si="6"/>
        <v>111.8</v>
      </c>
      <c r="AN54" s="1">
        <f t="shared" si="7"/>
        <v>112.2</v>
      </c>
    </row>
    <row r="55" spans="1:40" x14ac:dyDescent="0.3">
      <c r="A55" s="1" t="s">
        <v>34</v>
      </c>
      <c r="B55" s="1">
        <v>2014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  <c r="AG55" s="1">
        <f t="shared" si="0"/>
        <v>1533.7000000000003</v>
      </c>
      <c r="AH55" s="1">
        <f t="shared" si="1"/>
        <v>117.8</v>
      </c>
      <c r="AI55" s="1">
        <f t="shared" si="2"/>
        <v>352.7</v>
      </c>
      <c r="AJ55" s="1">
        <f t="shared" si="3"/>
        <v>341.70000000000005</v>
      </c>
      <c r="AK55" s="1">
        <f t="shared" si="4"/>
        <v>335.4</v>
      </c>
      <c r="AL55" s="1">
        <f t="shared" si="5"/>
        <v>111.8</v>
      </c>
      <c r="AM55" s="1">
        <f t="shared" si="6"/>
        <v>111.6</v>
      </c>
      <c r="AN55" s="1">
        <f t="shared" si="7"/>
        <v>112.3</v>
      </c>
    </row>
    <row r="56" spans="1:40" x14ac:dyDescent="0.3">
      <c r="A56" s="1" t="s">
        <v>30</v>
      </c>
      <c r="B56" s="1">
        <v>2014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  <c r="AG56" s="1">
        <f t="shared" si="0"/>
        <v>1563.2</v>
      </c>
      <c r="AH56" s="1">
        <f t="shared" si="1"/>
        <v>118</v>
      </c>
      <c r="AI56" s="1">
        <f t="shared" si="2"/>
        <v>359.3</v>
      </c>
      <c r="AJ56" s="1">
        <f t="shared" si="3"/>
        <v>230.7</v>
      </c>
      <c r="AK56" s="1">
        <f t="shared" si="4"/>
        <v>337.7</v>
      </c>
      <c r="AL56" s="1">
        <f t="shared" si="5"/>
        <v>113.2</v>
      </c>
      <c r="AM56" s="1">
        <f t="shared" si="6"/>
        <v>111.8</v>
      </c>
      <c r="AN56" s="1">
        <f t="shared" si="7"/>
        <v>113.1</v>
      </c>
    </row>
    <row r="57" spans="1:40" x14ac:dyDescent="0.3">
      <c r="A57" s="1" t="s">
        <v>33</v>
      </c>
      <c r="B57" s="1">
        <v>2014</v>
      </c>
      <c r="C57" s="1" t="s">
        <v>40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  <c r="AG57" s="1">
        <f t="shared" si="0"/>
        <v>1599.5</v>
      </c>
      <c r="AH57" s="1">
        <f t="shared" si="1"/>
        <v>121</v>
      </c>
      <c r="AI57" s="1">
        <f t="shared" si="2"/>
        <v>349</v>
      </c>
      <c r="AJ57" s="1">
        <f t="shared" si="3"/>
        <v>341.29999999999995</v>
      </c>
      <c r="AK57" s="1">
        <f t="shared" si="4"/>
        <v>339</v>
      </c>
      <c r="AL57" s="1">
        <f t="shared" si="5"/>
        <v>113</v>
      </c>
      <c r="AM57" s="1">
        <f t="shared" si="6"/>
        <v>112.4</v>
      </c>
      <c r="AN57" s="1">
        <f t="shared" si="7"/>
        <v>113.5</v>
      </c>
    </row>
    <row r="58" spans="1:40" x14ac:dyDescent="0.3">
      <c r="A58" s="1" t="s">
        <v>34</v>
      </c>
      <c r="B58" s="1">
        <v>2014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  <c r="AG58" s="1">
        <f t="shared" si="0"/>
        <v>1576.3</v>
      </c>
      <c r="AH58" s="1">
        <f t="shared" si="1"/>
        <v>118.8</v>
      </c>
      <c r="AI58" s="1">
        <f t="shared" si="2"/>
        <v>355</v>
      </c>
      <c r="AJ58" s="1">
        <f t="shared" si="3"/>
        <v>343.9</v>
      </c>
      <c r="AK58" s="1">
        <f t="shared" si="4"/>
        <v>338.7</v>
      </c>
      <c r="AL58" s="1">
        <f t="shared" si="5"/>
        <v>113.1</v>
      </c>
      <c r="AM58" s="1">
        <f t="shared" si="6"/>
        <v>112.1</v>
      </c>
      <c r="AN58" s="1">
        <f t="shared" si="7"/>
        <v>113.3</v>
      </c>
    </row>
    <row r="59" spans="1:40" x14ac:dyDescent="0.3">
      <c r="A59" s="1" t="s">
        <v>30</v>
      </c>
      <c r="B59" s="1">
        <v>2014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  <c r="AG59" s="1">
        <f t="shared" si="0"/>
        <v>1582.2999999999997</v>
      </c>
      <c r="AH59" s="1">
        <f t="shared" si="1"/>
        <v>118.8</v>
      </c>
      <c r="AI59" s="1">
        <f t="shared" si="2"/>
        <v>360.4</v>
      </c>
      <c r="AJ59" s="1">
        <f t="shared" si="3"/>
        <v>231.3</v>
      </c>
      <c r="AK59" s="1">
        <f t="shared" si="4"/>
        <v>339.6</v>
      </c>
      <c r="AL59" s="1">
        <f t="shared" si="5"/>
        <v>113.2</v>
      </c>
      <c r="AM59" s="1">
        <f t="shared" si="6"/>
        <v>112.2</v>
      </c>
      <c r="AN59" s="1">
        <f t="shared" si="7"/>
        <v>113.5</v>
      </c>
    </row>
    <row r="60" spans="1:40" x14ac:dyDescent="0.3">
      <c r="A60" s="1" t="s">
        <v>33</v>
      </c>
      <c r="B60" s="1">
        <v>2014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  <c r="AG60" s="1">
        <f t="shared" si="0"/>
        <v>1617</v>
      </c>
      <c r="AH60" s="1">
        <f t="shared" si="1"/>
        <v>123</v>
      </c>
      <c r="AI60" s="1">
        <f t="shared" si="2"/>
        <v>350.6</v>
      </c>
      <c r="AJ60" s="1">
        <f t="shared" si="3"/>
        <v>342.6</v>
      </c>
      <c r="AK60" s="1">
        <f t="shared" si="4"/>
        <v>341.9</v>
      </c>
      <c r="AL60" s="1">
        <f t="shared" si="5"/>
        <v>112.5</v>
      </c>
      <c r="AM60" s="1">
        <f t="shared" si="6"/>
        <v>112.9</v>
      </c>
      <c r="AN60" s="1">
        <f t="shared" si="7"/>
        <v>113.9</v>
      </c>
    </row>
    <row r="61" spans="1:40" x14ac:dyDescent="0.3">
      <c r="A61" s="1" t="s">
        <v>34</v>
      </c>
      <c r="B61" s="1">
        <v>2014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 s="1">
        <v>115.5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  <c r="AG61" s="1">
        <f t="shared" si="0"/>
        <v>1594.4999999999998</v>
      </c>
      <c r="AH61" s="1">
        <f t="shared" si="1"/>
        <v>119.9</v>
      </c>
      <c r="AI61" s="1">
        <f t="shared" si="2"/>
        <v>356.4</v>
      </c>
      <c r="AJ61" s="1">
        <f t="shared" si="3"/>
        <v>345.1</v>
      </c>
      <c r="AK61" s="1">
        <f t="shared" si="4"/>
        <v>341.20000000000005</v>
      </c>
      <c r="AL61" s="1">
        <f t="shared" si="5"/>
        <v>112.8</v>
      </c>
      <c r="AM61" s="1">
        <f t="shared" si="6"/>
        <v>112.6</v>
      </c>
      <c r="AN61" s="1">
        <f t="shared" si="7"/>
        <v>113.7</v>
      </c>
    </row>
    <row r="62" spans="1:40" x14ac:dyDescent="0.3">
      <c r="A62" s="1" t="s">
        <v>30</v>
      </c>
      <c r="B62" s="1">
        <v>2014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  <c r="AG62" s="1">
        <f t="shared" si="0"/>
        <v>1583.2</v>
      </c>
      <c r="AH62" s="1">
        <f t="shared" si="1"/>
        <v>119.5</v>
      </c>
      <c r="AI62" s="1">
        <f t="shared" si="2"/>
        <v>362.2</v>
      </c>
      <c r="AJ62" s="1">
        <f t="shared" si="3"/>
        <v>232.5</v>
      </c>
      <c r="AK62" s="1">
        <f t="shared" si="4"/>
        <v>340.2</v>
      </c>
      <c r="AL62" s="1">
        <f t="shared" si="5"/>
        <v>112.8</v>
      </c>
      <c r="AM62" s="1">
        <f t="shared" si="6"/>
        <v>112.6</v>
      </c>
      <c r="AN62" s="1">
        <f t="shared" si="7"/>
        <v>113.7</v>
      </c>
    </row>
    <row r="63" spans="1:40" x14ac:dyDescent="0.3">
      <c r="A63" s="1" t="s">
        <v>33</v>
      </c>
      <c r="B63" s="1">
        <v>2014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  <c r="AG63" s="1">
        <f t="shared" si="0"/>
        <v>1593.7000000000003</v>
      </c>
      <c r="AH63" s="1">
        <f t="shared" si="1"/>
        <v>124.3</v>
      </c>
      <c r="AI63" s="1">
        <f t="shared" si="2"/>
        <v>352.1</v>
      </c>
      <c r="AJ63" s="1">
        <f t="shared" si="3"/>
        <v>343.4</v>
      </c>
      <c r="AK63" s="1">
        <f t="shared" si="4"/>
        <v>342.3</v>
      </c>
      <c r="AL63" s="1">
        <f t="shared" si="5"/>
        <v>111.2</v>
      </c>
      <c r="AM63" s="1">
        <f t="shared" si="6"/>
        <v>113.4</v>
      </c>
      <c r="AN63" s="1">
        <f t="shared" si="7"/>
        <v>113.6</v>
      </c>
    </row>
    <row r="64" spans="1:40" x14ac:dyDescent="0.3">
      <c r="A64" s="1" t="s">
        <v>34</v>
      </c>
      <c r="B64" s="1">
        <v>2014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  <c r="AG64" s="1">
        <f t="shared" si="0"/>
        <v>1586.0999999999997</v>
      </c>
      <c r="AH64" s="1">
        <f t="shared" si="1"/>
        <v>120.8</v>
      </c>
      <c r="AI64" s="1">
        <f t="shared" si="2"/>
        <v>358</v>
      </c>
      <c r="AJ64" s="1">
        <f t="shared" si="3"/>
        <v>346.5</v>
      </c>
      <c r="AK64" s="1">
        <f t="shared" si="4"/>
        <v>341.8</v>
      </c>
      <c r="AL64" s="1">
        <f t="shared" si="5"/>
        <v>112</v>
      </c>
      <c r="AM64" s="1">
        <f t="shared" si="6"/>
        <v>113.1</v>
      </c>
      <c r="AN64" s="1">
        <f t="shared" si="7"/>
        <v>113.7</v>
      </c>
    </row>
    <row r="65" spans="1:40" x14ac:dyDescent="0.3">
      <c r="A65" s="1" t="s">
        <v>30</v>
      </c>
      <c r="B65" s="1">
        <v>2014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  <c r="AG65" s="1">
        <f t="shared" si="0"/>
        <v>1581.1999999999998</v>
      </c>
      <c r="AH65" s="1">
        <f t="shared" si="1"/>
        <v>120</v>
      </c>
      <c r="AI65" s="1">
        <f t="shared" si="2"/>
        <v>365.3</v>
      </c>
      <c r="AJ65" s="1">
        <f t="shared" si="3"/>
        <v>233.9</v>
      </c>
      <c r="AK65" s="1">
        <f t="shared" si="4"/>
        <v>341.5</v>
      </c>
      <c r="AL65" s="1">
        <f t="shared" si="5"/>
        <v>112.6</v>
      </c>
      <c r="AM65" s="1">
        <f t="shared" si="6"/>
        <v>113</v>
      </c>
      <c r="AN65" s="1">
        <f t="shared" si="7"/>
        <v>114</v>
      </c>
    </row>
    <row r="66" spans="1:40" x14ac:dyDescent="0.3">
      <c r="A66" s="1" t="s">
        <v>33</v>
      </c>
      <c r="B66" s="1">
        <v>2014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  <c r="AG66" s="1">
        <f t="shared" si="0"/>
        <v>1587.5</v>
      </c>
      <c r="AH66" s="1">
        <f t="shared" si="1"/>
        <v>124.3</v>
      </c>
      <c r="AI66" s="1">
        <f t="shared" si="2"/>
        <v>353.4</v>
      </c>
      <c r="AJ66" s="1">
        <f t="shared" si="3"/>
        <v>344.5</v>
      </c>
      <c r="AK66" s="1">
        <f t="shared" si="4"/>
        <v>342.9</v>
      </c>
      <c r="AL66" s="1">
        <f t="shared" si="5"/>
        <v>111</v>
      </c>
      <c r="AM66" s="1">
        <f t="shared" si="6"/>
        <v>113.6</v>
      </c>
      <c r="AN66" s="1">
        <f t="shared" si="7"/>
        <v>113.7</v>
      </c>
    </row>
    <row r="67" spans="1:40" x14ac:dyDescent="0.3">
      <c r="A67" s="1" t="s">
        <v>34</v>
      </c>
      <c r="B67" s="1">
        <v>2014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  <c r="AG67" s="1">
        <f t="shared" ref="AG67:AG130" si="8">SUM(D67:P67)</f>
        <v>1582.7</v>
      </c>
      <c r="AH67" s="1">
        <f t="shared" ref="AH67:AH130" si="9">SUM(Q67)</f>
        <v>121.1</v>
      </c>
      <c r="AI67" s="1">
        <f t="shared" ref="AI67:AI130" si="10">SUM(R67:T67)</f>
        <v>360.6</v>
      </c>
      <c r="AJ67" s="1">
        <f t="shared" ref="AJ67:AJ130" si="11">SUM(U67:W67)</f>
        <v>348.1</v>
      </c>
      <c r="AK67" s="1">
        <f t="shared" ref="AK67:AK130" si="12">SUM(X67,AA67,AB67)</f>
        <v>342.7</v>
      </c>
      <c r="AL67" s="1">
        <f t="shared" ref="AL67:AL130" si="13">SUM(Y67)</f>
        <v>111.8</v>
      </c>
      <c r="AM67" s="1">
        <f t="shared" ref="AM67:AM130" si="14">SUM(Z67)</f>
        <v>113.3</v>
      </c>
      <c r="AN67" s="1">
        <f t="shared" ref="AN67:AN130" si="15">SUM(AC67)</f>
        <v>113.9</v>
      </c>
    </row>
    <row r="68" spans="1:40" x14ac:dyDescent="0.3">
      <c r="A68" s="1" t="s">
        <v>30</v>
      </c>
      <c r="B68" s="1">
        <v>2014</v>
      </c>
      <c r="C68" s="1" t="s">
        <v>45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  <c r="AG68" s="1">
        <f t="shared" si="8"/>
        <v>1582</v>
      </c>
      <c r="AH68" s="1">
        <f t="shared" si="9"/>
        <v>120.8</v>
      </c>
      <c r="AI68" s="1">
        <f t="shared" si="10"/>
        <v>366.70000000000005</v>
      </c>
      <c r="AJ68" s="1">
        <f t="shared" si="11"/>
        <v>235.39999999999998</v>
      </c>
      <c r="AK68" s="1">
        <f t="shared" si="12"/>
        <v>341.90000000000003</v>
      </c>
      <c r="AL68" s="1">
        <f t="shared" si="13"/>
        <v>112</v>
      </c>
      <c r="AM68" s="1">
        <f t="shared" si="14"/>
        <v>113.3</v>
      </c>
      <c r="AN68" s="1">
        <f t="shared" si="15"/>
        <v>114.1</v>
      </c>
    </row>
    <row r="69" spans="1:40" x14ac:dyDescent="0.3">
      <c r="A69" s="1" t="s">
        <v>33</v>
      </c>
      <c r="B69" s="1">
        <v>2014</v>
      </c>
      <c r="C69" s="1" t="s">
        <v>45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  <c r="AG69" s="1">
        <f t="shared" si="8"/>
        <v>1587.8</v>
      </c>
      <c r="AH69" s="1">
        <f t="shared" si="9"/>
        <v>125.8</v>
      </c>
      <c r="AI69" s="1">
        <f t="shared" si="10"/>
        <v>355.2</v>
      </c>
      <c r="AJ69" s="1">
        <f t="shared" si="11"/>
        <v>346.1</v>
      </c>
      <c r="AK69" s="1">
        <f t="shared" si="12"/>
        <v>342.9</v>
      </c>
      <c r="AL69" s="1">
        <f t="shared" si="13"/>
        <v>109.7</v>
      </c>
      <c r="AM69" s="1">
        <f t="shared" si="14"/>
        <v>114</v>
      </c>
      <c r="AN69" s="1">
        <f t="shared" si="15"/>
        <v>113.4</v>
      </c>
    </row>
    <row r="70" spans="1:40" x14ac:dyDescent="0.3">
      <c r="A70" s="1" t="s">
        <v>34</v>
      </c>
      <c r="B70" s="1">
        <v>2014</v>
      </c>
      <c r="C70" s="1" t="s">
        <v>45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  <c r="AG70" s="1">
        <f t="shared" si="8"/>
        <v>1583.2</v>
      </c>
      <c r="AH70" s="1">
        <f t="shared" si="9"/>
        <v>122.1</v>
      </c>
      <c r="AI70" s="1">
        <f t="shared" si="10"/>
        <v>362.1</v>
      </c>
      <c r="AJ70" s="1">
        <f t="shared" si="11"/>
        <v>349.9</v>
      </c>
      <c r="AK70" s="1">
        <f t="shared" si="12"/>
        <v>342.9</v>
      </c>
      <c r="AL70" s="1">
        <f t="shared" si="13"/>
        <v>110.8</v>
      </c>
      <c r="AM70" s="1">
        <f t="shared" si="14"/>
        <v>113.7</v>
      </c>
      <c r="AN70" s="1">
        <f t="shared" si="15"/>
        <v>113.8</v>
      </c>
    </row>
    <row r="71" spans="1:40" x14ac:dyDescent="0.3">
      <c r="A71" s="1" t="s">
        <v>30</v>
      </c>
      <c r="B71" s="1">
        <v>2014</v>
      </c>
      <c r="C71" s="1" t="s">
        <v>46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  <c r="AG71" s="1">
        <f t="shared" si="8"/>
        <v>1569.6</v>
      </c>
      <c r="AH71" s="1">
        <f t="shared" si="9"/>
        <v>121.7</v>
      </c>
      <c r="AI71" s="1">
        <f t="shared" si="10"/>
        <v>367.7</v>
      </c>
      <c r="AJ71" s="1">
        <f t="shared" si="11"/>
        <v>235.60000000000002</v>
      </c>
      <c r="AK71" s="1">
        <f t="shared" si="12"/>
        <v>343.3</v>
      </c>
      <c r="AL71" s="1">
        <f t="shared" si="13"/>
        <v>111.5</v>
      </c>
      <c r="AM71" s="1">
        <f t="shared" si="14"/>
        <v>113.3</v>
      </c>
      <c r="AN71" s="1">
        <f t="shared" si="15"/>
        <v>114.2</v>
      </c>
    </row>
    <row r="72" spans="1:40" x14ac:dyDescent="0.3">
      <c r="A72" s="1" t="s">
        <v>33</v>
      </c>
      <c r="B72" s="1">
        <v>2014</v>
      </c>
      <c r="C72" s="1" t="s">
        <v>46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 s="1">
        <v>116.5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  <c r="AG72" s="1">
        <f t="shared" si="8"/>
        <v>1577.1999999999998</v>
      </c>
      <c r="AH72" s="1">
        <f t="shared" si="9"/>
        <v>126.4</v>
      </c>
      <c r="AI72" s="1">
        <f t="shared" si="10"/>
        <v>356.5</v>
      </c>
      <c r="AJ72" s="1">
        <f t="shared" si="11"/>
        <v>346.3</v>
      </c>
      <c r="AK72" s="1">
        <f t="shared" si="12"/>
        <v>344.3</v>
      </c>
      <c r="AL72" s="1">
        <f t="shared" si="13"/>
        <v>108.8</v>
      </c>
      <c r="AM72" s="1">
        <f t="shared" si="14"/>
        <v>114.3</v>
      </c>
      <c r="AN72" s="1">
        <f t="shared" si="15"/>
        <v>113.4</v>
      </c>
    </row>
    <row r="73" spans="1:40" x14ac:dyDescent="0.3">
      <c r="A73" s="1" t="s">
        <v>34</v>
      </c>
      <c r="B73" s="1">
        <v>2014</v>
      </c>
      <c r="C73" s="1" t="s">
        <v>46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  <c r="AG73" s="1">
        <f t="shared" si="8"/>
        <v>1571.6999999999998</v>
      </c>
      <c r="AH73" s="1">
        <f t="shared" si="9"/>
        <v>123</v>
      </c>
      <c r="AI73" s="1">
        <f t="shared" si="10"/>
        <v>363.2</v>
      </c>
      <c r="AJ73" s="1">
        <f t="shared" si="11"/>
        <v>349.7</v>
      </c>
      <c r="AK73" s="1">
        <f t="shared" si="12"/>
        <v>344.4</v>
      </c>
      <c r="AL73" s="1">
        <f t="shared" si="13"/>
        <v>110.1</v>
      </c>
      <c r="AM73" s="1">
        <f t="shared" si="14"/>
        <v>113.9</v>
      </c>
      <c r="AN73" s="1">
        <f t="shared" si="15"/>
        <v>113.8</v>
      </c>
    </row>
    <row r="74" spans="1:40" x14ac:dyDescent="0.3">
      <c r="A74" s="1" t="s">
        <v>30</v>
      </c>
      <c r="B74" s="1">
        <v>2015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  <c r="AG74" s="1">
        <f t="shared" si="8"/>
        <v>1568.1</v>
      </c>
      <c r="AH74" s="1">
        <f t="shared" si="9"/>
        <v>122.7</v>
      </c>
      <c r="AI74" s="1">
        <f t="shared" si="10"/>
        <v>370</v>
      </c>
      <c r="AJ74" s="1">
        <f t="shared" si="11"/>
        <v>237.3</v>
      </c>
      <c r="AK74" s="1">
        <f t="shared" si="12"/>
        <v>345</v>
      </c>
      <c r="AL74" s="1">
        <f t="shared" si="13"/>
        <v>111</v>
      </c>
      <c r="AM74" s="1">
        <f t="shared" si="14"/>
        <v>114</v>
      </c>
      <c r="AN74" s="1">
        <f t="shared" si="15"/>
        <v>114.5</v>
      </c>
    </row>
    <row r="75" spans="1:40" x14ac:dyDescent="0.3">
      <c r="A75" s="1" t="s">
        <v>33</v>
      </c>
      <c r="B75" s="1">
        <v>2015</v>
      </c>
      <c r="C75" s="1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  <c r="AG75" s="1">
        <f t="shared" si="8"/>
        <v>1574.8999999999999</v>
      </c>
      <c r="AH75" s="1">
        <f t="shared" si="9"/>
        <v>127.4</v>
      </c>
      <c r="AI75" s="1">
        <f t="shared" si="10"/>
        <v>357.3</v>
      </c>
      <c r="AJ75" s="1">
        <f t="shared" si="11"/>
        <v>347.9</v>
      </c>
      <c r="AK75" s="1">
        <f t="shared" si="12"/>
        <v>345.9</v>
      </c>
      <c r="AL75" s="1">
        <f t="shared" si="13"/>
        <v>107.9</v>
      </c>
      <c r="AM75" s="1">
        <f t="shared" si="14"/>
        <v>114.6</v>
      </c>
      <c r="AN75" s="1">
        <f t="shared" si="15"/>
        <v>113.4</v>
      </c>
    </row>
    <row r="76" spans="1:40" x14ac:dyDescent="0.3">
      <c r="A76" s="1" t="s">
        <v>34</v>
      </c>
      <c r="B76" s="1">
        <v>2015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  <c r="AG76" s="1">
        <f t="shared" si="8"/>
        <v>1569.3</v>
      </c>
      <c r="AH76" s="1">
        <f t="shared" si="9"/>
        <v>124</v>
      </c>
      <c r="AI76" s="1">
        <f t="shared" si="10"/>
        <v>364.9</v>
      </c>
      <c r="AJ76" s="1">
        <f t="shared" si="11"/>
        <v>351.9</v>
      </c>
      <c r="AK76" s="1">
        <f t="shared" si="12"/>
        <v>345.9</v>
      </c>
      <c r="AL76" s="1">
        <f t="shared" si="13"/>
        <v>109.4</v>
      </c>
      <c r="AM76" s="1">
        <f t="shared" si="14"/>
        <v>114.3</v>
      </c>
      <c r="AN76" s="1">
        <f t="shared" si="15"/>
        <v>114</v>
      </c>
    </row>
    <row r="77" spans="1:40" x14ac:dyDescent="0.3">
      <c r="A77" s="1" t="s">
        <v>30</v>
      </c>
      <c r="B77" s="1">
        <v>2015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s="1" t="s">
        <v>32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  <c r="AG77" s="1">
        <f t="shared" si="8"/>
        <v>1570.5999999999997</v>
      </c>
      <c r="AH77" s="1">
        <f t="shared" si="9"/>
        <v>124.2</v>
      </c>
      <c r="AI77" s="1">
        <f t="shared" si="10"/>
        <v>373.1</v>
      </c>
      <c r="AJ77" s="1">
        <f t="shared" si="11"/>
        <v>239.6</v>
      </c>
      <c r="AK77" s="1">
        <f t="shared" si="12"/>
        <v>347.2</v>
      </c>
      <c r="AL77" s="1">
        <f t="shared" si="13"/>
        <v>110.9</v>
      </c>
      <c r="AM77" s="1">
        <f t="shared" si="14"/>
        <v>114.8</v>
      </c>
      <c r="AN77" s="1">
        <f t="shared" si="15"/>
        <v>115</v>
      </c>
    </row>
    <row r="78" spans="1:40" x14ac:dyDescent="0.3">
      <c r="A78" s="1" t="s">
        <v>33</v>
      </c>
      <c r="B78" s="1">
        <v>2015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  <c r="AG78" s="1">
        <f t="shared" si="8"/>
        <v>1571.1000000000001</v>
      </c>
      <c r="AH78" s="1">
        <f t="shared" si="9"/>
        <v>128.1</v>
      </c>
      <c r="AI78" s="1">
        <f t="shared" si="10"/>
        <v>358.4</v>
      </c>
      <c r="AJ78" s="1">
        <f t="shared" si="11"/>
        <v>349.8</v>
      </c>
      <c r="AK78" s="1">
        <f t="shared" si="12"/>
        <v>346.2</v>
      </c>
      <c r="AL78" s="1">
        <f t="shared" si="13"/>
        <v>106.8</v>
      </c>
      <c r="AM78" s="1">
        <f t="shared" si="14"/>
        <v>114.9</v>
      </c>
      <c r="AN78" s="1">
        <f t="shared" si="15"/>
        <v>113.2</v>
      </c>
    </row>
    <row r="79" spans="1:40" x14ac:dyDescent="0.3">
      <c r="A79" s="1" t="s">
        <v>34</v>
      </c>
      <c r="B79" s="1">
        <v>2015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  <c r="AG79" s="1">
        <f t="shared" si="8"/>
        <v>1569.3999999999996</v>
      </c>
      <c r="AH79" s="1">
        <f t="shared" si="9"/>
        <v>125.2</v>
      </c>
      <c r="AI79" s="1">
        <f t="shared" si="10"/>
        <v>367.2</v>
      </c>
      <c r="AJ79" s="1">
        <f t="shared" si="11"/>
        <v>354.5</v>
      </c>
      <c r="AK79" s="1">
        <f t="shared" si="12"/>
        <v>347.2</v>
      </c>
      <c r="AL79" s="1">
        <f t="shared" si="13"/>
        <v>108.7</v>
      </c>
      <c r="AM79" s="1">
        <f t="shared" si="14"/>
        <v>114.9</v>
      </c>
      <c r="AN79" s="1">
        <f t="shared" si="15"/>
        <v>114.1</v>
      </c>
    </row>
    <row r="80" spans="1:40" x14ac:dyDescent="0.3">
      <c r="A80" s="1" t="s">
        <v>30</v>
      </c>
      <c r="B80" s="1">
        <v>2015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  <c r="AG80" s="1">
        <f t="shared" si="8"/>
        <v>1571.5</v>
      </c>
      <c r="AH80" s="1">
        <f t="shared" si="9"/>
        <v>124.7</v>
      </c>
      <c r="AI80" s="1">
        <f t="shared" si="10"/>
        <v>374.4</v>
      </c>
      <c r="AJ80" s="1">
        <f t="shared" si="11"/>
        <v>240.8</v>
      </c>
      <c r="AK80" s="1">
        <f t="shared" si="12"/>
        <v>348.40000000000003</v>
      </c>
      <c r="AL80" s="1">
        <f t="shared" si="13"/>
        <v>111.6</v>
      </c>
      <c r="AM80" s="1">
        <f t="shared" si="14"/>
        <v>115.5</v>
      </c>
      <c r="AN80" s="1">
        <f t="shared" si="15"/>
        <v>115.5</v>
      </c>
    </row>
    <row r="81" spans="1:40" x14ac:dyDescent="0.3">
      <c r="A81" s="1" t="s">
        <v>33</v>
      </c>
      <c r="B81" s="1">
        <v>2015</v>
      </c>
      <c r="C81" s="1" t="s">
        <v>36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  <c r="AG81" s="1">
        <f t="shared" si="8"/>
        <v>1568.0000000000002</v>
      </c>
      <c r="AH81" s="1">
        <f t="shared" si="9"/>
        <v>128.80000000000001</v>
      </c>
      <c r="AI81" s="1">
        <f t="shared" si="10"/>
        <v>359.5</v>
      </c>
      <c r="AJ81" s="1">
        <f t="shared" si="11"/>
        <v>351</v>
      </c>
      <c r="AK81" s="1">
        <f t="shared" si="12"/>
        <v>346.2</v>
      </c>
      <c r="AL81" s="1">
        <f t="shared" si="13"/>
        <v>108.4</v>
      </c>
      <c r="AM81" s="1">
        <f t="shared" si="14"/>
        <v>115.4</v>
      </c>
      <c r="AN81" s="1">
        <f t="shared" si="15"/>
        <v>113.8</v>
      </c>
    </row>
    <row r="82" spans="1:40" x14ac:dyDescent="0.3">
      <c r="A82" s="1" t="s">
        <v>34</v>
      </c>
      <c r="B82" s="1">
        <v>2015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  <c r="AG82" s="1">
        <f t="shared" si="8"/>
        <v>1569.1</v>
      </c>
      <c r="AH82" s="1">
        <f t="shared" si="9"/>
        <v>125.8</v>
      </c>
      <c r="AI82" s="1">
        <f t="shared" si="10"/>
        <v>368.4</v>
      </c>
      <c r="AJ82" s="1">
        <f t="shared" si="11"/>
        <v>356.09999999999997</v>
      </c>
      <c r="AK82" s="1">
        <f t="shared" si="12"/>
        <v>347.8</v>
      </c>
      <c r="AL82" s="1">
        <f t="shared" si="13"/>
        <v>109.9</v>
      </c>
      <c r="AM82" s="1">
        <f t="shared" si="14"/>
        <v>115.4</v>
      </c>
      <c r="AN82" s="1">
        <f t="shared" si="15"/>
        <v>114.7</v>
      </c>
    </row>
    <row r="83" spans="1:40" x14ac:dyDescent="0.3">
      <c r="A83" s="1" t="s">
        <v>30</v>
      </c>
      <c r="B83" s="1">
        <v>2015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  <c r="AG83" s="1">
        <f t="shared" si="8"/>
        <v>1577.2</v>
      </c>
      <c r="AH83" s="1">
        <f t="shared" si="9"/>
        <v>125.7</v>
      </c>
      <c r="AI83" s="1">
        <f t="shared" si="10"/>
        <v>375.7</v>
      </c>
      <c r="AJ83" s="1">
        <f t="shared" si="11"/>
        <v>242.10000000000002</v>
      </c>
      <c r="AK83" s="1">
        <f t="shared" si="12"/>
        <v>350.1</v>
      </c>
      <c r="AL83" s="1">
        <f t="shared" si="13"/>
        <v>111.9</v>
      </c>
      <c r="AM83" s="1">
        <f t="shared" si="14"/>
        <v>116.2</v>
      </c>
      <c r="AN83" s="1">
        <f t="shared" si="15"/>
        <v>116</v>
      </c>
    </row>
    <row r="84" spans="1:40" x14ac:dyDescent="0.3">
      <c r="A84" s="1" t="s">
        <v>33</v>
      </c>
      <c r="B84" s="1">
        <v>2015</v>
      </c>
      <c r="C84" s="1" t="s">
        <v>37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  <c r="AG84" s="1">
        <f t="shared" si="8"/>
        <v>1576.1</v>
      </c>
      <c r="AH84" s="1">
        <f t="shared" si="9"/>
        <v>130.1</v>
      </c>
      <c r="AI84" s="1">
        <f t="shared" si="10"/>
        <v>360.6</v>
      </c>
      <c r="AJ84" s="1">
        <f t="shared" si="11"/>
        <v>352.3</v>
      </c>
      <c r="AK84" s="1">
        <f t="shared" si="12"/>
        <v>348.1</v>
      </c>
      <c r="AL84" s="1">
        <f t="shared" si="13"/>
        <v>108.4</v>
      </c>
      <c r="AM84" s="1">
        <f t="shared" si="14"/>
        <v>115.6</v>
      </c>
      <c r="AN84" s="1">
        <f t="shared" si="15"/>
        <v>114.2</v>
      </c>
    </row>
    <row r="85" spans="1:40" x14ac:dyDescent="0.3">
      <c r="A85" s="1" t="s">
        <v>34</v>
      </c>
      <c r="B85" s="1">
        <v>2015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  <c r="AG85" s="1">
        <f t="shared" si="8"/>
        <v>1575.7</v>
      </c>
      <c r="AH85" s="1">
        <f t="shared" si="9"/>
        <v>126.9</v>
      </c>
      <c r="AI85" s="1">
        <f t="shared" si="10"/>
        <v>369.6</v>
      </c>
      <c r="AJ85" s="1">
        <f t="shared" si="11"/>
        <v>357.6</v>
      </c>
      <c r="AK85" s="1">
        <f t="shared" si="12"/>
        <v>349.8</v>
      </c>
      <c r="AL85" s="1">
        <f t="shared" si="13"/>
        <v>110.1</v>
      </c>
      <c r="AM85" s="1">
        <f t="shared" si="14"/>
        <v>115.9</v>
      </c>
      <c r="AN85" s="1">
        <f t="shared" si="15"/>
        <v>115.1</v>
      </c>
    </row>
    <row r="86" spans="1:40" x14ac:dyDescent="0.3">
      <c r="A86" s="1" t="s">
        <v>30</v>
      </c>
      <c r="B86" s="1">
        <v>2015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  <c r="AG86" s="1">
        <f t="shared" si="8"/>
        <v>1587.7</v>
      </c>
      <c r="AH86" s="1">
        <f t="shared" si="9"/>
        <v>126.7</v>
      </c>
      <c r="AI86" s="1">
        <f t="shared" si="10"/>
        <v>378.2</v>
      </c>
      <c r="AJ86" s="1">
        <f t="shared" si="11"/>
        <v>243.4</v>
      </c>
      <c r="AK86" s="1">
        <f t="shared" si="12"/>
        <v>352.2</v>
      </c>
      <c r="AL86" s="1">
        <f t="shared" si="13"/>
        <v>113.3</v>
      </c>
      <c r="AM86" s="1">
        <f t="shared" si="14"/>
        <v>116.7</v>
      </c>
      <c r="AN86" s="1">
        <f t="shared" si="15"/>
        <v>116.9</v>
      </c>
    </row>
    <row r="87" spans="1:40" x14ac:dyDescent="0.3">
      <c r="A87" s="1" t="s">
        <v>33</v>
      </c>
      <c r="B87" s="1">
        <v>2015</v>
      </c>
      <c r="C87" s="1" t="s">
        <v>38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  <c r="AG87" s="1">
        <f t="shared" si="8"/>
        <v>1598.9</v>
      </c>
      <c r="AH87" s="1">
        <f t="shared" si="9"/>
        <v>131.30000000000001</v>
      </c>
      <c r="AI87" s="1">
        <f t="shared" si="10"/>
        <v>361.4</v>
      </c>
      <c r="AJ87" s="1">
        <f t="shared" si="11"/>
        <v>353.2</v>
      </c>
      <c r="AK87" s="1">
        <f t="shared" si="12"/>
        <v>349.3</v>
      </c>
      <c r="AL87" s="1">
        <f t="shared" si="13"/>
        <v>110.8</v>
      </c>
      <c r="AM87" s="1">
        <f t="shared" si="14"/>
        <v>116</v>
      </c>
      <c r="AN87" s="1">
        <f t="shared" si="15"/>
        <v>115.2</v>
      </c>
    </row>
    <row r="88" spans="1:40" x14ac:dyDescent="0.3">
      <c r="A88" s="1" t="s">
        <v>34</v>
      </c>
      <c r="B88" s="1">
        <v>2015</v>
      </c>
      <c r="C88" s="1" t="s">
        <v>38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  <c r="AG88" s="1">
        <f t="shared" si="8"/>
        <v>1590.4</v>
      </c>
      <c r="AH88" s="1">
        <f t="shared" si="9"/>
        <v>127.9</v>
      </c>
      <c r="AI88" s="1">
        <f t="shared" si="10"/>
        <v>371.4</v>
      </c>
      <c r="AJ88" s="1">
        <f t="shared" si="11"/>
        <v>359</v>
      </c>
      <c r="AK88" s="1">
        <f t="shared" si="12"/>
        <v>351.40000000000003</v>
      </c>
      <c r="AL88" s="1">
        <f t="shared" si="13"/>
        <v>112</v>
      </c>
      <c r="AM88" s="1">
        <f t="shared" si="14"/>
        <v>116.3</v>
      </c>
      <c r="AN88" s="1">
        <f t="shared" si="15"/>
        <v>116.1</v>
      </c>
    </row>
    <row r="89" spans="1:40" x14ac:dyDescent="0.3">
      <c r="A89" s="1" t="s">
        <v>30</v>
      </c>
      <c r="B89" s="1">
        <v>2015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  <c r="AG89" s="1">
        <f t="shared" si="8"/>
        <v>1617.8999999999999</v>
      </c>
      <c r="AH89" s="1">
        <f t="shared" si="9"/>
        <v>128.19999999999999</v>
      </c>
      <c r="AI89" s="1">
        <f t="shared" si="10"/>
        <v>381.5</v>
      </c>
      <c r="AJ89" s="1">
        <f t="shared" si="11"/>
        <v>245.39999999999998</v>
      </c>
      <c r="AK89" s="1">
        <f t="shared" si="12"/>
        <v>355.4</v>
      </c>
      <c r="AL89" s="1">
        <f t="shared" si="13"/>
        <v>114.2</v>
      </c>
      <c r="AM89" s="1">
        <f t="shared" si="14"/>
        <v>117.9</v>
      </c>
      <c r="AN89" s="1">
        <f t="shared" si="15"/>
        <v>117.9</v>
      </c>
    </row>
    <row r="90" spans="1:40" x14ac:dyDescent="0.3">
      <c r="A90" s="1" t="s">
        <v>33</v>
      </c>
      <c r="B90" s="1">
        <v>2015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  <c r="AG90" s="1">
        <f t="shared" si="8"/>
        <v>1636.6</v>
      </c>
      <c r="AH90" s="1">
        <f t="shared" si="9"/>
        <v>132.1</v>
      </c>
      <c r="AI90" s="1">
        <f t="shared" si="10"/>
        <v>363.1</v>
      </c>
      <c r="AJ90" s="1">
        <f t="shared" si="11"/>
        <v>353.3</v>
      </c>
      <c r="AK90" s="1">
        <f t="shared" si="12"/>
        <v>351.7</v>
      </c>
      <c r="AL90" s="1">
        <f t="shared" si="13"/>
        <v>111.7</v>
      </c>
      <c r="AM90" s="1">
        <f t="shared" si="14"/>
        <v>116.2</v>
      </c>
      <c r="AN90" s="1">
        <f t="shared" si="15"/>
        <v>116</v>
      </c>
    </row>
    <row r="91" spans="1:40" x14ac:dyDescent="0.3">
      <c r="A91" s="1" t="s">
        <v>34</v>
      </c>
      <c r="B91" s="1">
        <v>2015</v>
      </c>
      <c r="C91" s="1" t="s">
        <v>39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 s="1">
        <v>119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  <c r="AG91" s="1">
        <f t="shared" si="8"/>
        <v>1623.5</v>
      </c>
      <c r="AH91" s="1">
        <f t="shared" si="9"/>
        <v>129.19999999999999</v>
      </c>
      <c r="AI91" s="1">
        <f t="shared" si="10"/>
        <v>374.1</v>
      </c>
      <c r="AJ91" s="1">
        <f t="shared" si="11"/>
        <v>359.9</v>
      </c>
      <c r="AK91" s="1">
        <f t="shared" si="12"/>
        <v>354.4</v>
      </c>
      <c r="AL91" s="1">
        <f t="shared" si="13"/>
        <v>112.9</v>
      </c>
      <c r="AM91" s="1">
        <f t="shared" si="14"/>
        <v>116.9</v>
      </c>
      <c r="AN91" s="1">
        <f t="shared" si="15"/>
        <v>117</v>
      </c>
    </row>
    <row r="92" spans="1:40" x14ac:dyDescent="0.3">
      <c r="A92" s="1" t="s">
        <v>30</v>
      </c>
      <c r="B92" s="1">
        <v>2015</v>
      </c>
      <c r="C92" s="1" t="s">
        <v>40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s="1" t="s">
        <v>32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  <c r="AG92" s="1">
        <f t="shared" si="8"/>
        <v>1625.3</v>
      </c>
      <c r="AH92" s="1">
        <f t="shared" si="9"/>
        <v>129.4</v>
      </c>
      <c r="AI92" s="1">
        <f t="shared" si="10"/>
        <v>382.6</v>
      </c>
      <c r="AJ92" s="1">
        <f t="shared" si="11"/>
        <v>246</v>
      </c>
      <c r="AK92" s="1">
        <f t="shared" si="12"/>
        <v>356.4</v>
      </c>
      <c r="AL92" s="1">
        <f t="shared" si="13"/>
        <v>114.1</v>
      </c>
      <c r="AM92" s="1">
        <f t="shared" si="14"/>
        <v>118</v>
      </c>
      <c r="AN92" s="1">
        <f t="shared" si="15"/>
        <v>118.1</v>
      </c>
    </row>
    <row r="93" spans="1:40" x14ac:dyDescent="0.3">
      <c r="A93" s="1" t="s">
        <v>33</v>
      </c>
      <c r="B93" s="1">
        <v>2015</v>
      </c>
      <c r="C93" s="1" t="s">
        <v>40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  <c r="AG93" s="1">
        <f t="shared" si="8"/>
        <v>1642.8999999999999</v>
      </c>
      <c r="AH93" s="1">
        <f t="shared" si="9"/>
        <v>133.1</v>
      </c>
      <c r="AI93" s="1">
        <f t="shared" si="10"/>
        <v>364.1</v>
      </c>
      <c r="AJ93" s="1">
        <f t="shared" si="11"/>
        <v>354.7</v>
      </c>
      <c r="AK93" s="1">
        <f t="shared" si="12"/>
        <v>353.1</v>
      </c>
      <c r="AL93" s="1">
        <f t="shared" si="13"/>
        <v>111.5</v>
      </c>
      <c r="AM93" s="1">
        <f t="shared" si="14"/>
        <v>116.6</v>
      </c>
      <c r="AN93" s="1">
        <f t="shared" si="15"/>
        <v>116.3</v>
      </c>
    </row>
    <row r="94" spans="1:40" x14ac:dyDescent="0.3">
      <c r="A94" s="1" t="s">
        <v>34</v>
      </c>
      <c r="B94" s="1">
        <v>2015</v>
      </c>
      <c r="C94" s="1" t="s">
        <v>40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  <c r="AG94" s="1">
        <f t="shared" si="8"/>
        <v>1630.6000000000001</v>
      </c>
      <c r="AH94" s="1">
        <f t="shared" si="9"/>
        <v>130.4</v>
      </c>
      <c r="AI94" s="1">
        <f t="shared" si="10"/>
        <v>375.1</v>
      </c>
      <c r="AJ94" s="1">
        <f t="shared" si="11"/>
        <v>361.3</v>
      </c>
      <c r="AK94" s="1">
        <f t="shared" si="12"/>
        <v>355.7</v>
      </c>
      <c r="AL94" s="1">
        <f t="shared" si="13"/>
        <v>112.7</v>
      </c>
      <c r="AM94" s="1">
        <f t="shared" si="14"/>
        <v>117.2</v>
      </c>
      <c r="AN94" s="1">
        <f t="shared" si="15"/>
        <v>117.2</v>
      </c>
    </row>
    <row r="95" spans="1:40" x14ac:dyDescent="0.3">
      <c r="A95" s="1" t="s">
        <v>30</v>
      </c>
      <c r="B95" s="1">
        <v>2015</v>
      </c>
      <c r="C95" s="1" t="s">
        <v>41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  <c r="AG95" s="1">
        <f t="shared" si="8"/>
        <v>1646.6</v>
      </c>
      <c r="AH95" s="1">
        <f t="shared" si="9"/>
        <v>130.1</v>
      </c>
      <c r="AI95" s="1">
        <f t="shared" si="10"/>
        <v>384.8</v>
      </c>
      <c r="AJ95" s="1">
        <f t="shared" si="11"/>
        <v>247.5</v>
      </c>
      <c r="AK95" s="1">
        <f t="shared" si="12"/>
        <v>357.2</v>
      </c>
      <c r="AL95" s="1">
        <f t="shared" si="13"/>
        <v>113.6</v>
      </c>
      <c r="AM95" s="1">
        <f t="shared" si="14"/>
        <v>118.5</v>
      </c>
      <c r="AN95" s="1">
        <f t="shared" si="15"/>
        <v>118.2</v>
      </c>
    </row>
    <row r="96" spans="1:40" x14ac:dyDescent="0.3">
      <c r="A96" s="1" t="s">
        <v>33</v>
      </c>
      <c r="B96" s="1">
        <v>2015</v>
      </c>
      <c r="C96" s="1" t="s">
        <v>41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  <c r="AG96" s="1">
        <f t="shared" si="8"/>
        <v>1658.8999999999999</v>
      </c>
      <c r="AH96" s="1">
        <f t="shared" si="9"/>
        <v>134.19999999999999</v>
      </c>
      <c r="AI96" s="1">
        <f t="shared" si="10"/>
        <v>364.8</v>
      </c>
      <c r="AJ96" s="1">
        <f t="shared" si="11"/>
        <v>356.2</v>
      </c>
      <c r="AK96" s="1">
        <f t="shared" si="12"/>
        <v>354.8</v>
      </c>
      <c r="AL96" s="1">
        <f t="shared" si="13"/>
        <v>109.9</v>
      </c>
      <c r="AM96" s="1">
        <f t="shared" si="14"/>
        <v>117.2</v>
      </c>
      <c r="AN96" s="1">
        <f t="shared" si="15"/>
        <v>116.2</v>
      </c>
    </row>
    <row r="97" spans="1:40" x14ac:dyDescent="0.3">
      <c r="A97" s="1" t="s">
        <v>34</v>
      </c>
      <c r="B97" s="1">
        <v>2015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  <c r="AG97" s="1">
        <f t="shared" si="8"/>
        <v>1649.6</v>
      </c>
      <c r="AH97" s="1">
        <f t="shared" si="9"/>
        <v>131.19999999999999</v>
      </c>
      <c r="AI97" s="1">
        <f t="shared" si="10"/>
        <v>376.70000000000005</v>
      </c>
      <c r="AJ97" s="1">
        <f t="shared" si="11"/>
        <v>363.5</v>
      </c>
      <c r="AK97" s="1">
        <f t="shared" si="12"/>
        <v>356.8</v>
      </c>
      <c r="AL97" s="1">
        <f t="shared" si="13"/>
        <v>111.7</v>
      </c>
      <c r="AM97" s="1">
        <f t="shared" si="14"/>
        <v>117.8</v>
      </c>
      <c r="AN97" s="1">
        <f t="shared" si="15"/>
        <v>117.2</v>
      </c>
    </row>
    <row r="98" spans="1:40" x14ac:dyDescent="0.3">
      <c r="A98" s="1" t="s">
        <v>30</v>
      </c>
      <c r="B98" s="1">
        <v>2015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  <c r="AG98" s="1">
        <f t="shared" si="8"/>
        <v>1657.6000000000001</v>
      </c>
      <c r="AH98" s="1">
        <f t="shared" si="9"/>
        <v>131</v>
      </c>
      <c r="AI98" s="1">
        <f t="shared" si="10"/>
        <v>387.1</v>
      </c>
      <c r="AJ98" s="1">
        <f t="shared" si="11"/>
        <v>248.2</v>
      </c>
      <c r="AK98" s="1">
        <f t="shared" si="12"/>
        <v>359.6</v>
      </c>
      <c r="AL98" s="1">
        <f t="shared" si="13"/>
        <v>113.8</v>
      </c>
      <c r="AM98" s="1">
        <f t="shared" si="14"/>
        <v>119.6</v>
      </c>
      <c r="AN98" s="1">
        <f t="shared" si="15"/>
        <v>118.8</v>
      </c>
    </row>
    <row r="99" spans="1:40" x14ac:dyDescent="0.3">
      <c r="A99" s="1" t="s">
        <v>33</v>
      </c>
      <c r="B99" s="1">
        <v>2015</v>
      </c>
      <c r="C99" s="1" t="s">
        <v>42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  <c r="AG99" s="1">
        <f t="shared" si="8"/>
        <v>1664.8</v>
      </c>
      <c r="AH99" s="1">
        <f t="shared" si="9"/>
        <v>134.69999999999999</v>
      </c>
      <c r="AI99" s="1">
        <f t="shared" si="10"/>
        <v>365.8</v>
      </c>
      <c r="AJ99" s="1">
        <f t="shared" si="11"/>
        <v>357.1</v>
      </c>
      <c r="AK99" s="1">
        <f t="shared" si="12"/>
        <v>356.5</v>
      </c>
      <c r="AL99" s="1">
        <f t="shared" si="13"/>
        <v>109.1</v>
      </c>
      <c r="AM99" s="1">
        <f t="shared" si="14"/>
        <v>117.3</v>
      </c>
      <c r="AN99" s="1">
        <f t="shared" si="15"/>
        <v>116.2</v>
      </c>
    </row>
    <row r="100" spans="1:40" x14ac:dyDescent="0.3">
      <c r="A100" s="1" t="s">
        <v>34</v>
      </c>
      <c r="B100" s="1">
        <v>2015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  <c r="AG100" s="1">
        <f t="shared" si="8"/>
        <v>1658.3000000000002</v>
      </c>
      <c r="AH100" s="1">
        <f t="shared" si="9"/>
        <v>132</v>
      </c>
      <c r="AI100" s="1">
        <f t="shared" si="10"/>
        <v>378.5</v>
      </c>
      <c r="AJ100" s="1">
        <f t="shared" si="11"/>
        <v>364.6</v>
      </c>
      <c r="AK100" s="1">
        <f t="shared" si="12"/>
        <v>358.9</v>
      </c>
      <c r="AL100" s="1">
        <f t="shared" si="13"/>
        <v>111.3</v>
      </c>
      <c r="AM100" s="1">
        <f t="shared" si="14"/>
        <v>118.3</v>
      </c>
      <c r="AN100" s="1">
        <f t="shared" si="15"/>
        <v>117.5</v>
      </c>
    </row>
    <row r="101" spans="1:40" x14ac:dyDescent="0.3">
      <c r="A101" s="1" t="s">
        <v>30</v>
      </c>
      <c r="B101" s="1">
        <v>2015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  <c r="AG101" s="1">
        <f t="shared" si="8"/>
        <v>1674.6</v>
      </c>
      <c r="AH101" s="1">
        <f t="shared" si="9"/>
        <v>131.5</v>
      </c>
      <c r="AI101" s="1">
        <f t="shared" si="10"/>
        <v>389</v>
      </c>
      <c r="AJ101" s="1">
        <f t="shared" si="11"/>
        <v>249.5</v>
      </c>
      <c r="AK101" s="1">
        <f t="shared" si="12"/>
        <v>361.3</v>
      </c>
      <c r="AL101" s="1">
        <f t="shared" si="13"/>
        <v>113.8</v>
      </c>
      <c r="AM101" s="1">
        <f t="shared" si="14"/>
        <v>120.1</v>
      </c>
      <c r="AN101" s="1">
        <f t="shared" si="15"/>
        <v>119.2</v>
      </c>
    </row>
    <row r="102" spans="1:40" x14ac:dyDescent="0.3">
      <c r="A102" s="1" t="s">
        <v>33</v>
      </c>
      <c r="B102" s="1">
        <v>2015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  <c r="AG102" s="1">
        <f t="shared" si="8"/>
        <v>1692.8000000000002</v>
      </c>
      <c r="AH102" s="1">
        <f t="shared" si="9"/>
        <v>135.30000000000001</v>
      </c>
      <c r="AI102" s="1">
        <f t="shared" si="10"/>
        <v>366.79999999999995</v>
      </c>
      <c r="AJ102" s="1">
        <f t="shared" si="11"/>
        <v>358</v>
      </c>
      <c r="AK102" s="1">
        <f t="shared" si="12"/>
        <v>357.7</v>
      </c>
      <c r="AL102" s="1">
        <f t="shared" si="13"/>
        <v>109.3</v>
      </c>
      <c r="AM102" s="1">
        <f t="shared" si="14"/>
        <v>117.7</v>
      </c>
      <c r="AN102" s="1">
        <f t="shared" si="15"/>
        <v>116.5</v>
      </c>
    </row>
    <row r="103" spans="1:40" x14ac:dyDescent="0.3">
      <c r="A103" s="1" t="s">
        <v>34</v>
      </c>
      <c r="B103" s="1">
        <v>2015</v>
      </c>
      <c r="C103" s="1" t="s">
        <v>43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  <c r="AG103" s="1">
        <f t="shared" si="8"/>
        <v>1678.9999999999998</v>
      </c>
      <c r="AH103" s="1">
        <f t="shared" si="9"/>
        <v>132.5</v>
      </c>
      <c r="AI103" s="1">
        <f t="shared" si="10"/>
        <v>380.1</v>
      </c>
      <c r="AJ103" s="1">
        <f t="shared" si="11"/>
        <v>366.2</v>
      </c>
      <c r="AK103" s="1">
        <f t="shared" si="12"/>
        <v>360.20000000000005</v>
      </c>
      <c r="AL103" s="1">
        <f t="shared" si="13"/>
        <v>111.4</v>
      </c>
      <c r="AM103" s="1">
        <f t="shared" si="14"/>
        <v>118.7</v>
      </c>
      <c r="AN103" s="1">
        <f t="shared" si="15"/>
        <v>117.9</v>
      </c>
    </row>
    <row r="104" spans="1:40" x14ac:dyDescent="0.3">
      <c r="A104" s="1" t="s">
        <v>30</v>
      </c>
      <c r="B104" s="1">
        <v>2015</v>
      </c>
      <c r="C104" s="1" t="s">
        <v>45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  <c r="AG104" s="1">
        <f t="shared" si="8"/>
        <v>1686.3</v>
      </c>
      <c r="AH104" s="1">
        <f t="shared" si="9"/>
        <v>132.19999999999999</v>
      </c>
      <c r="AI104" s="1">
        <f t="shared" si="10"/>
        <v>391.79999999999995</v>
      </c>
      <c r="AJ104" s="1">
        <f t="shared" si="11"/>
        <v>251.2</v>
      </c>
      <c r="AK104" s="1">
        <f t="shared" si="12"/>
        <v>362.59999999999997</v>
      </c>
      <c r="AL104" s="1">
        <f t="shared" si="13"/>
        <v>114</v>
      </c>
      <c r="AM104" s="1">
        <f t="shared" si="14"/>
        <v>120.9</v>
      </c>
      <c r="AN104" s="1">
        <f t="shared" si="15"/>
        <v>119.6</v>
      </c>
    </row>
    <row r="105" spans="1:40" x14ac:dyDescent="0.3">
      <c r="A105" s="1" t="s">
        <v>33</v>
      </c>
      <c r="B105" s="1">
        <v>2015</v>
      </c>
      <c r="C105" s="1" t="s">
        <v>45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  <c r="AG105" s="1">
        <f t="shared" si="8"/>
        <v>1708.4999999999998</v>
      </c>
      <c r="AH105" s="1">
        <f t="shared" si="9"/>
        <v>137.6</v>
      </c>
      <c r="AI105" s="1">
        <f t="shared" si="10"/>
        <v>368.5</v>
      </c>
      <c r="AJ105" s="1">
        <f t="shared" si="11"/>
        <v>359</v>
      </c>
      <c r="AK105" s="1">
        <f t="shared" si="12"/>
        <v>358</v>
      </c>
      <c r="AL105" s="1">
        <f t="shared" si="13"/>
        <v>109.3</v>
      </c>
      <c r="AM105" s="1">
        <f t="shared" si="14"/>
        <v>117.9</v>
      </c>
      <c r="AN105" s="1">
        <f t="shared" si="15"/>
        <v>116.6</v>
      </c>
    </row>
    <row r="106" spans="1:40" x14ac:dyDescent="0.3">
      <c r="A106" s="1" t="s">
        <v>34</v>
      </c>
      <c r="B106" s="1">
        <v>2015</v>
      </c>
      <c r="C106" s="1" t="s">
        <v>45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  <c r="AG106" s="1">
        <f t="shared" si="8"/>
        <v>1692.1</v>
      </c>
      <c r="AH106" s="1">
        <f t="shared" si="9"/>
        <v>133.6</v>
      </c>
      <c r="AI106" s="1">
        <f t="shared" si="10"/>
        <v>382.4</v>
      </c>
      <c r="AJ106" s="1">
        <f t="shared" si="11"/>
        <v>367.9</v>
      </c>
      <c r="AK106" s="1">
        <f t="shared" si="12"/>
        <v>361</v>
      </c>
      <c r="AL106" s="1">
        <f t="shared" si="13"/>
        <v>111.5</v>
      </c>
      <c r="AM106" s="1">
        <f t="shared" si="14"/>
        <v>119.2</v>
      </c>
      <c r="AN106" s="1">
        <f t="shared" si="15"/>
        <v>118.1</v>
      </c>
    </row>
    <row r="107" spans="1:40" x14ac:dyDescent="0.3">
      <c r="A107" s="1" t="s">
        <v>30</v>
      </c>
      <c r="B107" s="1">
        <v>2015</v>
      </c>
      <c r="C107" s="1" t="s">
        <v>46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  <c r="AG107" s="1">
        <f t="shared" si="8"/>
        <v>1682.3000000000002</v>
      </c>
      <c r="AH107" s="1">
        <f t="shared" si="9"/>
        <v>133.1</v>
      </c>
      <c r="AI107" s="1">
        <f t="shared" si="10"/>
        <v>392.9</v>
      </c>
      <c r="AJ107" s="1">
        <f t="shared" si="11"/>
        <v>251.7</v>
      </c>
      <c r="AK107" s="1">
        <f t="shared" si="12"/>
        <v>362.79999999999995</v>
      </c>
      <c r="AL107" s="1">
        <f t="shared" si="13"/>
        <v>114</v>
      </c>
      <c r="AM107" s="1">
        <f t="shared" si="14"/>
        <v>121.6</v>
      </c>
      <c r="AN107" s="1">
        <f t="shared" si="15"/>
        <v>119.8</v>
      </c>
    </row>
    <row r="108" spans="1:40" x14ac:dyDescent="0.3">
      <c r="A108" s="1" t="s">
        <v>33</v>
      </c>
      <c r="B108" s="1">
        <v>2015</v>
      </c>
      <c r="C108" s="1" t="s">
        <v>46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  <c r="AG108" s="1">
        <f t="shared" si="8"/>
        <v>1698.8</v>
      </c>
      <c r="AH108" s="1">
        <f t="shared" si="9"/>
        <v>138.19999999999999</v>
      </c>
      <c r="AI108" s="1">
        <f t="shared" si="10"/>
        <v>369.4</v>
      </c>
      <c r="AJ108" s="1">
        <f t="shared" si="11"/>
        <v>359.4</v>
      </c>
      <c r="AK108" s="1">
        <f t="shared" si="12"/>
        <v>358.4</v>
      </c>
      <c r="AL108" s="1">
        <f t="shared" si="13"/>
        <v>109.3</v>
      </c>
      <c r="AM108" s="1">
        <f t="shared" si="14"/>
        <v>118.1</v>
      </c>
      <c r="AN108" s="1">
        <f t="shared" si="15"/>
        <v>116.7</v>
      </c>
    </row>
    <row r="109" spans="1:40" x14ac:dyDescent="0.3">
      <c r="A109" s="1" t="s">
        <v>34</v>
      </c>
      <c r="B109" s="1">
        <v>2015</v>
      </c>
      <c r="C109" s="1" t="s">
        <v>46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 s="1">
        <v>122.4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  <c r="AG109" s="1">
        <f t="shared" si="8"/>
        <v>1686.1000000000001</v>
      </c>
      <c r="AH109" s="1">
        <f t="shared" si="9"/>
        <v>134.5</v>
      </c>
      <c r="AI109" s="1">
        <f t="shared" si="10"/>
        <v>383.5</v>
      </c>
      <c r="AJ109" s="1">
        <f t="shared" si="11"/>
        <v>368</v>
      </c>
      <c r="AK109" s="1">
        <f t="shared" si="12"/>
        <v>361.3</v>
      </c>
      <c r="AL109" s="1">
        <f t="shared" si="13"/>
        <v>111.5</v>
      </c>
      <c r="AM109" s="1">
        <f t="shared" si="14"/>
        <v>119.6</v>
      </c>
      <c r="AN109" s="1">
        <f t="shared" si="15"/>
        <v>118.3</v>
      </c>
    </row>
    <row r="110" spans="1:40" x14ac:dyDescent="0.3">
      <c r="A110" s="1" t="s">
        <v>30</v>
      </c>
      <c r="B110" s="1">
        <v>2016</v>
      </c>
      <c r="C110" s="1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  <c r="AG110" s="1">
        <f t="shared" si="8"/>
        <v>1690.1000000000001</v>
      </c>
      <c r="AH110" s="1">
        <f t="shared" si="9"/>
        <v>133.6</v>
      </c>
      <c r="AI110" s="1">
        <f t="shared" si="10"/>
        <v>394.70000000000005</v>
      </c>
      <c r="AJ110" s="1">
        <f t="shared" si="11"/>
        <v>252.8</v>
      </c>
      <c r="AK110" s="1">
        <f t="shared" si="12"/>
        <v>364.8</v>
      </c>
      <c r="AL110" s="1">
        <f t="shared" si="13"/>
        <v>113.6</v>
      </c>
      <c r="AM110" s="1">
        <f t="shared" si="14"/>
        <v>121.4</v>
      </c>
      <c r="AN110" s="1">
        <f t="shared" si="15"/>
        <v>120.1</v>
      </c>
    </row>
    <row r="111" spans="1:40" x14ac:dyDescent="0.3">
      <c r="A111" s="1" t="s">
        <v>33</v>
      </c>
      <c r="B111" s="1">
        <v>2016</v>
      </c>
      <c r="C111" s="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  <c r="AG111" s="1">
        <f t="shared" si="8"/>
        <v>1701.4</v>
      </c>
      <c r="AH111" s="1">
        <f t="shared" si="9"/>
        <v>139.5</v>
      </c>
      <c r="AI111" s="1">
        <f t="shared" si="10"/>
        <v>370.5</v>
      </c>
      <c r="AJ111" s="1">
        <f t="shared" si="11"/>
        <v>361.9</v>
      </c>
      <c r="AK111" s="1">
        <f t="shared" si="12"/>
        <v>359.5</v>
      </c>
      <c r="AL111" s="1">
        <f t="shared" si="13"/>
        <v>108.9</v>
      </c>
      <c r="AM111" s="1">
        <f t="shared" si="14"/>
        <v>118.5</v>
      </c>
      <c r="AN111" s="1">
        <f t="shared" si="15"/>
        <v>116.8</v>
      </c>
    </row>
    <row r="112" spans="1:40" x14ac:dyDescent="0.3">
      <c r="A112" s="1" t="s">
        <v>34</v>
      </c>
      <c r="B112" s="1">
        <v>2016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  <c r="AG112" s="1">
        <f t="shared" si="8"/>
        <v>1691.7</v>
      </c>
      <c r="AH112" s="1">
        <f t="shared" si="9"/>
        <v>135.19999999999999</v>
      </c>
      <c r="AI112" s="1">
        <f t="shared" si="10"/>
        <v>384.9</v>
      </c>
      <c r="AJ112" s="1">
        <f t="shared" si="11"/>
        <v>370.3</v>
      </c>
      <c r="AK112" s="1">
        <f t="shared" si="12"/>
        <v>362.8</v>
      </c>
      <c r="AL112" s="1">
        <f t="shared" si="13"/>
        <v>111.1</v>
      </c>
      <c r="AM112" s="1">
        <f t="shared" si="14"/>
        <v>119.8</v>
      </c>
      <c r="AN112" s="1">
        <f t="shared" si="15"/>
        <v>118.5</v>
      </c>
    </row>
    <row r="113" spans="1:40" x14ac:dyDescent="0.3">
      <c r="A113" s="1" t="s">
        <v>30</v>
      </c>
      <c r="B113" s="1">
        <v>2016</v>
      </c>
      <c r="C113" s="1" t="s">
        <v>35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  <c r="AG113" s="1">
        <f t="shared" si="8"/>
        <v>1682.6</v>
      </c>
      <c r="AH113" s="1">
        <f t="shared" si="9"/>
        <v>134.4</v>
      </c>
      <c r="AI113" s="1">
        <f t="shared" si="10"/>
        <v>397.1</v>
      </c>
      <c r="AJ113" s="1">
        <f t="shared" si="11"/>
        <v>254.6</v>
      </c>
      <c r="AK113" s="1">
        <f t="shared" si="12"/>
        <v>368.2</v>
      </c>
      <c r="AL113" s="1">
        <f t="shared" si="13"/>
        <v>113.9</v>
      </c>
      <c r="AM113" s="1">
        <f t="shared" si="14"/>
        <v>122.3</v>
      </c>
      <c r="AN113" s="1">
        <f t="shared" si="15"/>
        <v>120.9</v>
      </c>
    </row>
    <row r="114" spans="1:40" x14ac:dyDescent="0.3">
      <c r="A114" s="1" t="s">
        <v>33</v>
      </c>
      <c r="B114" s="1">
        <v>2016</v>
      </c>
      <c r="C114" s="1" t="s">
        <v>35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  <c r="AG114" s="1">
        <f t="shared" si="8"/>
        <v>1676.1</v>
      </c>
      <c r="AH114" s="1">
        <f t="shared" si="9"/>
        <v>140</v>
      </c>
      <c r="AI114" s="1">
        <f t="shared" si="10"/>
        <v>371.6</v>
      </c>
      <c r="AJ114" s="1">
        <f t="shared" si="11"/>
        <v>362.2</v>
      </c>
      <c r="AK114" s="1">
        <f t="shared" si="12"/>
        <v>362</v>
      </c>
      <c r="AL114" s="1">
        <f t="shared" si="13"/>
        <v>109.1</v>
      </c>
      <c r="AM114" s="1">
        <f t="shared" si="14"/>
        <v>118.8</v>
      </c>
      <c r="AN114" s="1">
        <f t="shared" si="15"/>
        <v>117.2</v>
      </c>
    </row>
    <row r="115" spans="1:40" x14ac:dyDescent="0.3">
      <c r="A115" s="1" t="s">
        <v>34</v>
      </c>
      <c r="B115" s="1">
        <v>2016</v>
      </c>
      <c r="C115" s="1" t="s">
        <v>35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  <c r="AG115" s="1">
        <f t="shared" si="8"/>
        <v>1678.1</v>
      </c>
      <c r="AH115" s="1">
        <f t="shared" si="9"/>
        <v>135.9</v>
      </c>
      <c r="AI115" s="1">
        <f t="shared" si="10"/>
        <v>386.9</v>
      </c>
      <c r="AJ115" s="1">
        <f t="shared" si="11"/>
        <v>372.1</v>
      </c>
      <c r="AK115" s="1">
        <f t="shared" si="12"/>
        <v>365.7</v>
      </c>
      <c r="AL115" s="1">
        <f t="shared" si="13"/>
        <v>111.4</v>
      </c>
      <c r="AM115" s="1">
        <f t="shared" si="14"/>
        <v>120.3</v>
      </c>
      <c r="AN115" s="1">
        <f t="shared" si="15"/>
        <v>119.1</v>
      </c>
    </row>
    <row r="116" spans="1:40" x14ac:dyDescent="0.3">
      <c r="A116" s="1" t="s">
        <v>30</v>
      </c>
      <c r="B116" s="1">
        <v>2016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s="1" t="s">
        <v>32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  <c r="AG116" s="1">
        <f t="shared" si="8"/>
        <v>1682.7000000000003</v>
      </c>
      <c r="AH116" s="1">
        <f t="shared" si="9"/>
        <v>135</v>
      </c>
      <c r="AI116" s="1">
        <f t="shared" si="10"/>
        <v>398.40000000000003</v>
      </c>
      <c r="AJ116" s="1">
        <f t="shared" si="11"/>
        <v>254.7</v>
      </c>
      <c r="AK116" s="1">
        <f t="shared" si="12"/>
        <v>369.70000000000005</v>
      </c>
      <c r="AL116" s="1">
        <f t="shared" si="13"/>
        <v>113.6</v>
      </c>
      <c r="AM116" s="1">
        <f t="shared" si="14"/>
        <v>122.5</v>
      </c>
      <c r="AN116" s="1">
        <f t="shared" si="15"/>
        <v>121.1</v>
      </c>
    </row>
    <row r="117" spans="1:40" x14ac:dyDescent="0.3">
      <c r="A117" s="1" t="s">
        <v>33</v>
      </c>
      <c r="B117" s="1">
        <v>2016</v>
      </c>
      <c r="C117" s="1" t="s">
        <v>36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  <c r="AG117" s="1">
        <f t="shared" si="8"/>
        <v>1667.6000000000001</v>
      </c>
      <c r="AH117" s="1">
        <f t="shared" si="9"/>
        <v>140.6</v>
      </c>
      <c r="AI117" s="1">
        <f t="shared" si="10"/>
        <v>372.2</v>
      </c>
      <c r="AJ117" s="1">
        <f t="shared" si="11"/>
        <v>362</v>
      </c>
      <c r="AK117" s="1">
        <f t="shared" si="12"/>
        <v>363.20000000000005</v>
      </c>
      <c r="AL117" s="1">
        <f t="shared" si="13"/>
        <v>108.5</v>
      </c>
      <c r="AM117" s="1">
        <f t="shared" si="14"/>
        <v>119.1</v>
      </c>
      <c r="AN117" s="1">
        <f t="shared" si="15"/>
        <v>117.3</v>
      </c>
    </row>
    <row r="118" spans="1:40" x14ac:dyDescent="0.3">
      <c r="A118" s="1" t="s">
        <v>34</v>
      </c>
      <c r="B118" s="1">
        <v>2016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  <c r="AG118" s="1">
        <f t="shared" si="8"/>
        <v>1675.2</v>
      </c>
      <c r="AH118" s="1">
        <f t="shared" si="9"/>
        <v>136.5</v>
      </c>
      <c r="AI118" s="1">
        <f t="shared" si="10"/>
        <v>387.9</v>
      </c>
      <c r="AJ118" s="1">
        <f t="shared" si="11"/>
        <v>372.4</v>
      </c>
      <c r="AK118" s="1">
        <f t="shared" si="12"/>
        <v>367.1</v>
      </c>
      <c r="AL118" s="1">
        <f t="shared" si="13"/>
        <v>110.9</v>
      </c>
      <c r="AM118" s="1">
        <f t="shared" si="14"/>
        <v>120.6</v>
      </c>
      <c r="AN118" s="1">
        <f t="shared" si="15"/>
        <v>119.3</v>
      </c>
    </row>
    <row r="119" spans="1:40" x14ac:dyDescent="0.3">
      <c r="A119" s="1" t="s">
        <v>30</v>
      </c>
      <c r="B119" s="1">
        <v>2016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s="1" t="s">
        <v>32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  <c r="AG119" s="1">
        <f t="shared" si="8"/>
        <v>1701.6000000000004</v>
      </c>
      <c r="AH119" s="1">
        <f t="shared" si="9"/>
        <v>135.5</v>
      </c>
      <c r="AI119" s="1">
        <f t="shared" si="10"/>
        <v>400</v>
      </c>
      <c r="AJ119" s="1">
        <f t="shared" si="11"/>
        <v>255</v>
      </c>
      <c r="AK119" s="1">
        <f t="shared" si="12"/>
        <v>371.5</v>
      </c>
      <c r="AL119" s="1">
        <f t="shared" si="13"/>
        <v>114.4</v>
      </c>
      <c r="AM119" s="1">
        <f t="shared" si="14"/>
        <v>123.2</v>
      </c>
      <c r="AN119" s="1">
        <f t="shared" si="15"/>
        <v>121.7</v>
      </c>
    </row>
    <row r="120" spans="1:40" x14ac:dyDescent="0.3">
      <c r="A120" s="1" t="s">
        <v>33</v>
      </c>
      <c r="B120" s="1">
        <v>2016</v>
      </c>
      <c r="C120" s="1" t="s">
        <v>37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  <c r="AG120" s="1">
        <f t="shared" si="8"/>
        <v>1706.3</v>
      </c>
      <c r="AH120" s="1">
        <f t="shared" si="9"/>
        <v>141.5</v>
      </c>
      <c r="AI120" s="1">
        <f t="shared" si="10"/>
        <v>373.1</v>
      </c>
      <c r="AJ120" s="1">
        <f t="shared" si="11"/>
        <v>363</v>
      </c>
      <c r="AK120" s="1">
        <f t="shared" si="12"/>
        <v>365.2</v>
      </c>
      <c r="AL120" s="1">
        <f t="shared" si="13"/>
        <v>110</v>
      </c>
      <c r="AM120" s="1">
        <f t="shared" si="14"/>
        <v>119.5</v>
      </c>
      <c r="AN120" s="1">
        <f t="shared" si="15"/>
        <v>118.2</v>
      </c>
    </row>
    <row r="121" spans="1:40" x14ac:dyDescent="0.3">
      <c r="A121" s="1" t="s">
        <v>34</v>
      </c>
      <c r="B121" s="1">
        <v>2016</v>
      </c>
      <c r="C121" s="1" t="s">
        <v>37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  <c r="AG121" s="1">
        <f t="shared" si="8"/>
        <v>1701.3</v>
      </c>
      <c r="AH121" s="1">
        <f t="shared" si="9"/>
        <v>137.1</v>
      </c>
      <c r="AI121" s="1">
        <f t="shared" si="10"/>
        <v>389.20000000000005</v>
      </c>
      <c r="AJ121" s="1">
        <f t="shared" si="11"/>
        <v>373.4</v>
      </c>
      <c r="AK121" s="1">
        <f t="shared" si="12"/>
        <v>369</v>
      </c>
      <c r="AL121" s="1">
        <f t="shared" si="13"/>
        <v>112.1</v>
      </c>
      <c r="AM121" s="1">
        <f t="shared" si="14"/>
        <v>121.1</v>
      </c>
      <c r="AN121" s="1">
        <f t="shared" si="15"/>
        <v>120</v>
      </c>
    </row>
    <row r="122" spans="1:40" x14ac:dyDescent="0.3">
      <c r="A122" s="1" t="s">
        <v>30</v>
      </c>
      <c r="B122" s="1">
        <v>2016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  <c r="AG122" s="1">
        <f t="shared" si="8"/>
        <v>1723.6999999999998</v>
      </c>
      <c r="AH122" s="1">
        <f t="shared" si="9"/>
        <v>136</v>
      </c>
      <c r="AI122" s="1">
        <f t="shared" si="10"/>
        <v>401.3</v>
      </c>
      <c r="AJ122" s="1">
        <f t="shared" si="11"/>
        <v>255.9</v>
      </c>
      <c r="AK122" s="1">
        <f t="shared" si="12"/>
        <v>374.59999999999997</v>
      </c>
      <c r="AL122" s="1">
        <f t="shared" si="13"/>
        <v>115.1</v>
      </c>
      <c r="AM122" s="1">
        <f t="shared" si="14"/>
        <v>123.6</v>
      </c>
      <c r="AN122" s="1">
        <f t="shared" si="15"/>
        <v>122.5</v>
      </c>
    </row>
    <row r="123" spans="1:40" x14ac:dyDescent="0.3">
      <c r="A123" s="1" t="s">
        <v>33</v>
      </c>
      <c r="B123" s="1">
        <v>2016</v>
      </c>
      <c r="C123" s="1" t="s">
        <v>38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 s="1">
        <v>126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  <c r="AG123" s="1">
        <f t="shared" si="8"/>
        <v>1746.7999999999997</v>
      </c>
      <c r="AH123" s="1">
        <f t="shared" si="9"/>
        <v>142.19999999999999</v>
      </c>
      <c r="AI123" s="1">
        <f t="shared" si="10"/>
        <v>374.1</v>
      </c>
      <c r="AJ123" s="1">
        <f t="shared" si="11"/>
        <v>364.2</v>
      </c>
      <c r="AK123" s="1">
        <f t="shared" si="12"/>
        <v>366.8</v>
      </c>
      <c r="AL123" s="1">
        <f t="shared" si="13"/>
        <v>110.7</v>
      </c>
      <c r="AM123" s="1">
        <f t="shared" si="14"/>
        <v>119.8</v>
      </c>
      <c r="AN123" s="1">
        <f t="shared" si="15"/>
        <v>118.7</v>
      </c>
    </row>
    <row r="124" spans="1:40" x14ac:dyDescent="0.3">
      <c r="A124" s="1" t="s">
        <v>34</v>
      </c>
      <c r="B124" s="1">
        <v>2016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 s="1">
        <v>126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  <c r="AG124" s="1">
        <f t="shared" si="8"/>
        <v>1730.4</v>
      </c>
      <c r="AH124" s="1">
        <f t="shared" si="9"/>
        <v>137.69999999999999</v>
      </c>
      <c r="AI124" s="1">
        <f t="shared" si="10"/>
        <v>390.4</v>
      </c>
      <c r="AJ124" s="1">
        <f t="shared" si="11"/>
        <v>374.7</v>
      </c>
      <c r="AK124" s="1">
        <f t="shared" si="12"/>
        <v>371.4</v>
      </c>
      <c r="AL124" s="1">
        <f t="shared" si="13"/>
        <v>112.8</v>
      </c>
      <c r="AM124" s="1">
        <f t="shared" si="14"/>
        <v>121.5</v>
      </c>
      <c r="AN124" s="1">
        <f t="shared" si="15"/>
        <v>120.7</v>
      </c>
    </row>
    <row r="125" spans="1:40" x14ac:dyDescent="0.3">
      <c r="A125" s="1" t="s">
        <v>30</v>
      </c>
      <c r="B125" s="1">
        <v>2016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s="1" t="s">
        <v>32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  <c r="AG125" s="1">
        <f t="shared" si="8"/>
        <v>1748.6</v>
      </c>
      <c r="AH125" s="1">
        <f t="shared" si="9"/>
        <v>137.19999999999999</v>
      </c>
      <c r="AI125" s="1">
        <f t="shared" si="10"/>
        <v>403.5</v>
      </c>
      <c r="AJ125" s="1">
        <f t="shared" si="11"/>
        <v>257.3</v>
      </c>
      <c r="AK125" s="1">
        <f t="shared" si="12"/>
        <v>376.29999999999995</v>
      </c>
      <c r="AL125" s="1">
        <f t="shared" si="13"/>
        <v>116.3</v>
      </c>
      <c r="AM125" s="1">
        <f t="shared" si="14"/>
        <v>124.1</v>
      </c>
      <c r="AN125" s="1">
        <f t="shared" si="15"/>
        <v>123.3</v>
      </c>
    </row>
    <row r="126" spans="1:40" x14ac:dyDescent="0.3">
      <c r="A126" s="1" t="s">
        <v>33</v>
      </c>
      <c r="B126" s="1">
        <v>2016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  <c r="AG126" s="1">
        <f t="shared" si="8"/>
        <v>1787.0000000000002</v>
      </c>
      <c r="AH126" s="1">
        <f t="shared" si="9"/>
        <v>142.69999999999999</v>
      </c>
      <c r="AI126" s="1">
        <f t="shared" si="10"/>
        <v>375.29999999999995</v>
      </c>
      <c r="AJ126" s="1">
        <f t="shared" si="11"/>
        <v>364.2</v>
      </c>
      <c r="AK126" s="1">
        <f t="shared" si="12"/>
        <v>368.7</v>
      </c>
      <c r="AL126" s="1">
        <f t="shared" si="13"/>
        <v>112.3</v>
      </c>
      <c r="AM126" s="1">
        <f t="shared" si="14"/>
        <v>119.9</v>
      </c>
      <c r="AN126" s="1">
        <f t="shared" si="15"/>
        <v>119.6</v>
      </c>
    </row>
    <row r="127" spans="1:40" x14ac:dyDescent="0.3">
      <c r="A127" s="1" t="s">
        <v>34</v>
      </c>
      <c r="B127" s="1">
        <v>2016</v>
      </c>
      <c r="C127" s="1" t="s">
        <v>39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  <c r="AG127" s="1">
        <f t="shared" si="8"/>
        <v>1760.6</v>
      </c>
      <c r="AH127" s="1">
        <f t="shared" si="9"/>
        <v>138.69999999999999</v>
      </c>
      <c r="AI127" s="1">
        <f t="shared" si="10"/>
        <v>392.1</v>
      </c>
      <c r="AJ127" s="1">
        <f t="shared" si="11"/>
        <v>375.20000000000005</v>
      </c>
      <c r="AK127" s="1">
        <f t="shared" si="12"/>
        <v>373.2</v>
      </c>
      <c r="AL127" s="1">
        <f t="shared" si="13"/>
        <v>114.2</v>
      </c>
      <c r="AM127" s="1">
        <f t="shared" si="14"/>
        <v>121.7</v>
      </c>
      <c r="AN127" s="1">
        <f t="shared" si="15"/>
        <v>121.5</v>
      </c>
    </row>
    <row r="128" spans="1:40" x14ac:dyDescent="0.3">
      <c r="A128" s="1" t="s">
        <v>30</v>
      </c>
      <c r="B128" s="1">
        <v>2016</v>
      </c>
      <c r="C128" s="1" t="s">
        <v>40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s="1" t="s">
        <v>32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  <c r="AG128" s="1">
        <f t="shared" si="8"/>
        <v>1770.2999999999997</v>
      </c>
      <c r="AH128" s="1">
        <f t="shared" si="9"/>
        <v>138</v>
      </c>
      <c r="AI128" s="1">
        <f t="shared" si="10"/>
        <v>405.9</v>
      </c>
      <c r="AJ128" s="1">
        <f t="shared" si="11"/>
        <v>258.2</v>
      </c>
      <c r="AK128" s="1">
        <f t="shared" si="12"/>
        <v>378.4</v>
      </c>
      <c r="AL128" s="1">
        <f t="shared" si="13"/>
        <v>116.4</v>
      </c>
      <c r="AM128" s="1">
        <f t="shared" si="14"/>
        <v>125.2</v>
      </c>
      <c r="AN128" s="1">
        <f t="shared" si="15"/>
        <v>123.8</v>
      </c>
    </row>
    <row r="129" spans="1:40" x14ac:dyDescent="0.3">
      <c r="A129" s="1" t="s">
        <v>33</v>
      </c>
      <c r="B129" s="1">
        <v>2016</v>
      </c>
      <c r="C129" s="1" t="s">
        <v>40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  <c r="AG129" s="1">
        <f t="shared" si="8"/>
        <v>1811.5000000000002</v>
      </c>
      <c r="AH129" s="1">
        <f t="shared" si="9"/>
        <v>142.9</v>
      </c>
      <c r="AI129" s="1">
        <f t="shared" si="10"/>
        <v>375.9</v>
      </c>
      <c r="AJ129" s="1">
        <f t="shared" si="11"/>
        <v>365.4</v>
      </c>
      <c r="AK129" s="1">
        <f t="shared" si="12"/>
        <v>371.70000000000005</v>
      </c>
      <c r="AL129" s="1">
        <f t="shared" si="13"/>
        <v>111.7</v>
      </c>
      <c r="AM129" s="1">
        <f t="shared" si="14"/>
        <v>120.3</v>
      </c>
      <c r="AN129" s="1">
        <f t="shared" si="15"/>
        <v>119.9</v>
      </c>
    </row>
    <row r="130" spans="1:40" x14ac:dyDescent="0.3">
      <c r="A130" s="1" t="s">
        <v>34</v>
      </c>
      <c r="B130" s="1">
        <v>2016</v>
      </c>
      <c r="C130" s="1" t="s">
        <v>40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  <c r="AG130" s="1">
        <f t="shared" si="8"/>
        <v>1783.5</v>
      </c>
      <c r="AH130" s="1">
        <f t="shared" si="9"/>
        <v>139.30000000000001</v>
      </c>
      <c r="AI130" s="1">
        <f t="shared" si="10"/>
        <v>393.8</v>
      </c>
      <c r="AJ130" s="1">
        <f t="shared" si="11"/>
        <v>376.70000000000005</v>
      </c>
      <c r="AK130" s="1">
        <f t="shared" si="12"/>
        <v>375.8</v>
      </c>
      <c r="AL130" s="1">
        <f t="shared" si="13"/>
        <v>113.9</v>
      </c>
      <c r="AM130" s="1">
        <f t="shared" si="14"/>
        <v>122.4</v>
      </c>
      <c r="AN130" s="1">
        <f t="shared" si="15"/>
        <v>121.9</v>
      </c>
    </row>
    <row r="131" spans="1:40" x14ac:dyDescent="0.3">
      <c r="A131" s="1" t="s">
        <v>30</v>
      </c>
      <c r="B131" s="1">
        <v>2016</v>
      </c>
      <c r="C131" s="1" t="s">
        <v>41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  <c r="AG131" s="1">
        <f t="shared" ref="AG131:AG194" si="16">SUM(D131:P131)</f>
        <v>1777.4999999999998</v>
      </c>
      <c r="AH131" s="1">
        <f t="shared" ref="AH131:AH194" si="17">SUM(Q131)</f>
        <v>138.9</v>
      </c>
      <c r="AI131" s="1">
        <f t="shared" ref="AI131:AI194" si="18">SUM(R131:T131)</f>
        <v>407.9</v>
      </c>
      <c r="AJ131" s="1">
        <f t="shared" ref="AJ131:AJ194" si="19">SUM(U131:W131)</f>
        <v>259.7</v>
      </c>
      <c r="AK131" s="1">
        <f t="shared" ref="AK131:AK194" si="20">SUM(X131,AA131,AB131)</f>
        <v>380.9</v>
      </c>
      <c r="AL131" s="1">
        <f t="shared" ref="AL131:AL194" si="21">SUM(Y131)</f>
        <v>116</v>
      </c>
      <c r="AM131" s="1">
        <f t="shared" ref="AM131:AM194" si="22">SUM(Z131)</f>
        <v>125.5</v>
      </c>
      <c r="AN131" s="1">
        <f t="shared" ref="AN131:AN194" si="23">SUM(AC131)</f>
        <v>124.2</v>
      </c>
    </row>
    <row r="132" spans="1:40" x14ac:dyDescent="0.3">
      <c r="A132" s="1" t="s">
        <v>33</v>
      </c>
      <c r="B132" s="1">
        <v>2016</v>
      </c>
      <c r="C132" s="1" t="s">
        <v>41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  <c r="AG132" s="1">
        <f t="shared" si="16"/>
        <v>1783.9999999999995</v>
      </c>
      <c r="AH132" s="1">
        <f t="shared" si="17"/>
        <v>143.6</v>
      </c>
      <c r="AI132" s="1">
        <f t="shared" si="18"/>
        <v>377</v>
      </c>
      <c r="AJ132" s="1">
        <f t="shared" si="19"/>
        <v>365.9</v>
      </c>
      <c r="AK132" s="1">
        <f t="shared" si="20"/>
        <v>373.6</v>
      </c>
      <c r="AL132" s="1">
        <f t="shared" si="21"/>
        <v>110.4</v>
      </c>
      <c r="AM132" s="1">
        <f t="shared" si="22"/>
        <v>120.6</v>
      </c>
      <c r="AN132" s="1">
        <f t="shared" si="23"/>
        <v>119.9</v>
      </c>
    </row>
    <row r="133" spans="1:40" x14ac:dyDescent="0.3">
      <c r="A133" s="1" t="s">
        <v>34</v>
      </c>
      <c r="B133" s="1">
        <v>2016</v>
      </c>
      <c r="C133" s="1" t="s">
        <v>41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  <c r="AG133" s="1">
        <f t="shared" si="16"/>
        <v>1777.9</v>
      </c>
      <c r="AH133" s="1">
        <f t="shared" si="17"/>
        <v>140.19999999999999</v>
      </c>
      <c r="AI133" s="1">
        <f t="shared" si="18"/>
        <v>395.49999999999994</v>
      </c>
      <c r="AJ133" s="1">
        <f t="shared" si="19"/>
        <v>378.29999999999995</v>
      </c>
      <c r="AK133" s="1">
        <f t="shared" si="20"/>
        <v>378</v>
      </c>
      <c r="AL133" s="1">
        <f t="shared" si="21"/>
        <v>113.1</v>
      </c>
      <c r="AM133" s="1">
        <f t="shared" si="22"/>
        <v>122.7</v>
      </c>
      <c r="AN133" s="1">
        <f t="shared" si="23"/>
        <v>122.1</v>
      </c>
    </row>
    <row r="134" spans="1:40" x14ac:dyDescent="0.3">
      <c r="A134" s="1" t="s">
        <v>30</v>
      </c>
      <c r="B134" s="1">
        <v>2016</v>
      </c>
      <c r="C134" s="1" t="s">
        <v>42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s="1" t="s">
        <v>32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  <c r="AG134" s="1">
        <f t="shared" si="16"/>
        <v>1770.7</v>
      </c>
      <c r="AH134" s="1">
        <f t="shared" si="17"/>
        <v>139.9</v>
      </c>
      <c r="AI134" s="1">
        <f t="shared" si="18"/>
        <v>409.8</v>
      </c>
      <c r="AJ134" s="1">
        <f t="shared" si="19"/>
        <v>260.79999999999995</v>
      </c>
      <c r="AK134" s="1">
        <f t="shared" si="20"/>
        <v>382.8</v>
      </c>
      <c r="AL134" s="1">
        <f t="shared" si="21"/>
        <v>117</v>
      </c>
      <c r="AM134" s="1">
        <f t="shared" si="22"/>
        <v>125.7</v>
      </c>
      <c r="AN134" s="1">
        <f t="shared" si="23"/>
        <v>124.9</v>
      </c>
    </row>
    <row r="135" spans="1:40" x14ac:dyDescent="0.3">
      <c r="A135" s="1" t="s">
        <v>33</v>
      </c>
      <c r="B135" s="1">
        <v>2016</v>
      </c>
      <c r="C135" s="1" t="s">
        <v>42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  <c r="AG135" s="1">
        <f t="shared" si="16"/>
        <v>1756.3999999999996</v>
      </c>
      <c r="AH135" s="1">
        <f t="shared" si="17"/>
        <v>143.9</v>
      </c>
      <c r="AI135" s="1">
        <f t="shared" si="18"/>
        <v>378</v>
      </c>
      <c r="AJ135" s="1">
        <f t="shared" si="19"/>
        <v>367</v>
      </c>
      <c r="AK135" s="1">
        <f t="shared" si="20"/>
        <v>374.2</v>
      </c>
      <c r="AL135" s="1">
        <f t="shared" si="21"/>
        <v>111.8</v>
      </c>
      <c r="AM135" s="1">
        <f t="shared" si="22"/>
        <v>120.8</v>
      </c>
      <c r="AN135" s="1">
        <f t="shared" si="23"/>
        <v>120.5</v>
      </c>
    </row>
    <row r="136" spans="1:40" x14ac:dyDescent="0.3">
      <c r="A136" s="1" t="s">
        <v>34</v>
      </c>
      <c r="B136" s="1">
        <v>2016</v>
      </c>
      <c r="C136" s="1" t="s">
        <v>42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  <c r="AG136" s="1">
        <f t="shared" si="16"/>
        <v>1763.6999999999998</v>
      </c>
      <c r="AH136" s="1">
        <f t="shared" si="17"/>
        <v>141</v>
      </c>
      <c r="AI136" s="1">
        <f t="shared" si="18"/>
        <v>397</v>
      </c>
      <c r="AJ136" s="1">
        <f t="shared" si="19"/>
        <v>379.9</v>
      </c>
      <c r="AK136" s="1">
        <f t="shared" si="20"/>
        <v>379.30000000000007</v>
      </c>
      <c r="AL136" s="1">
        <f t="shared" si="21"/>
        <v>114.3</v>
      </c>
      <c r="AM136" s="1">
        <f t="shared" si="22"/>
        <v>122.9</v>
      </c>
      <c r="AN136" s="1">
        <f t="shared" si="23"/>
        <v>122.8</v>
      </c>
    </row>
    <row r="137" spans="1:40" x14ac:dyDescent="0.3">
      <c r="A137" s="1" t="s">
        <v>30</v>
      </c>
      <c r="B137" s="1">
        <v>2016</v>
      </c>
      <c r="C137" s="1" t="s">
        <v>43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s="1" t="s">
        <v>32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  <c r="AG137" s="1">
        <f t="shared" si="16"/>
        <v>1771.8000000000002</v>
      </c>
      <c r="AH137" s="1">
        <f t="shared" si="17"/>
        <v>140.9</v>
      </c>
      <c r="AI137" s="1">
        <f t="shared" si="18"/>
        <v>412.7</v>
      </c>
      <c r="AJ137" s="1">
        <f t="shared" si="19"/>
        <v>261.60000000000002</v>
      </c>
      <c r="AK137" s="1">
        <f t="shared" si="20"/>
        <v>384.7</v>
      </c>
      <c r="AL137" s="1">
        <f t="shared" si="21"/>
        <v>117.8</v>
      </c>
      <c r="AM137" s="1">
        <f t="shared" si="22"/>
        <v>126.5</v>
      </c>
      <c r="AN137" s="1">
        <f t="shared" si="23"/>
        <v>125.7</v>
      </c>
    </row>
    <row r="138" spans="1:40" x14ac:dyDescent="0.3">
      <c r="A138" s="1" t="s">
        <v>33</v>
      </c>
      <c r="B138" s="1">
        <v>2016</v>
      </c>
      <c r="C138" s="1" t="s">
        <v>43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 s="1">
        <v>128.69999999999999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  <c r="AG138" s="1">
        <f t="shared" si="16"/>
        <v>1762.8999999999999</v>
      </c>
      <c r="AH138" s="1">
        <f t="shared" si="17"/>
        <v>144.30000000000001</v>
      </c>
      <c r="AI138" s="1">
        <f t="shared" si="18"/>
        <v>379</v>
      </c>
      <c r="AJ138" s="1">
        <f t="shared" si="19"/>
        <v>368.4</v>
      </c>
      <c r="AK138" s="1">
        <f t="shared" si="20"/>
        <v>374.5</v>
      </c>
      <c r="AL138" s="1">
        <f t="shared" si="21"/>
        <v>112.8</v>
      </c>
      <c r="AM138" s="1">
        <f t="shared" si="22"/>
        <v>121.2</v>
      </c>
      <c r="AN138" s="1">
        <f t="shared" si="23"/>
        <v>120.9</v>
      </c>
    </row>
    <row r="139" spans="1:40" x14ac:dyDescent="0.3">
      <c r="A139" s="1" t="s">
        <v>34</v>
      </c>
      <c r="B139" s="1">
        <v>2016</v>
      </c>
      <c r="C139" s="1" t="s">
        <v>43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 s="1">
        <v>128.69999999999999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  <c r="AG139" s="1">
        <f t="shared" si="16"/>
        <v>1766.7999999999995</v>
      </c>
      <c r="AH139" s="1">
        <f t="shared" si="17"/>
        <v>141.80000000000001</v>
      </c>
      <c r="AI139" s="1">
        <f t="shared" si="18"/>
        <v>399.1</v>
      </c>
      <c r="AJ139" s="1">
        <f t="shared" si="19"/>
        <v>381.4</v>
      </c>
      <c r="AK139" s="1">
        <f t="shared" si="20"/>
        <v>380.6</v>
      </c>
      <c r="AL139" s="1">
        <f t="shared" si="21"/>
        <v>115.2</v>
      </c>
      <c r="AM139" s="1">
        <f t="shared" si="22"/>
        <v>123.5</v>
      </c>
      <c r="AN139" s="1">
        <f t="shared" si="23"/>
        <v>123.4</v>
      </c>
    </row>
    <row r="140" spans="1:40" x14ac:dyDescent="0.3">
      <c r="A140" s="1" t="s">
        <v>30</v>
      </c>
      <c r="B140" s="1">
        <v>2016</v>
      </c>
      <c r="C140" s="1" t="s">
        <v>45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s="1" t="s">
        <v>32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  <c r="AG140" s="1">
        <f t="shared" si="16"/>
        <v>1764.6</v>
      </c>
      <c r="AH140" s="1">
        <f t="shared" si="17"/>
        <v>141.19999999999999</v>
      </c>
      <c r="AI140" s="1">
        <f t="shared" si="18"/>
        <v>413.59999999999997</v>
      </c>
      <c r="AJ140" s="1">
        <f t="shared" si="19"/>
        <v>262.39999999999998</v>
      </c>
      <c r="AK140" s="1">
        <f t="shared" si="20"/>
        <v>386.29999999999995</v>
      </c>
      <c r="AL140" s="1">
        <f t="shared" si="21"/>
        <v>118.2</v>
      </c>
      <c r="AM140" s="1">
        <f t="shared" si="22"/>
        <v>126.9</v>
      </c>
      <c r="AN140" s="1">
        <f t="shared" si="23"/>
        <v>126.1</v>
      </c>
    </row>
    <row r="141" spans="1:40" x14ac:dyDescent="0.3">
      <c r="A141" s="1" t="s">
        <v>33</v>
      </c>
      <c r="B141" s="1">
        <v>2016</v>
      </c>
      <c r="C141" s="1" t="s">
        <v>45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  <c r="AG141" s="1">
        <f t="shared" si="16"/>
        <v>1755.2</v>
      </c>
      <c r="AH141" s="1">
        <f t="shared" si="17"/>
        <v>144.30000000000001</v>
      </c>
      <c r="AI141" s="1">
        <f t="shared" si="18"/>
        <v>380.2</v>
      </c>
      <c r="AJ141" s="1">
        <f t="shared" si="19"/>
        <v>370</v>
      </c>
      <c r="AK141" s="1">
        <f t="shared" si="20"/>
        <v>375.5</v>
      </c>
      <c r="AL141" s="1">
        <f t="shared" si="21"/>
        <v>113.4</v>
      </c>
      <c r="AM141" s="1">
        <f t="shared" si="22"/>
        <v>121.7</v>
      </c>
      <c r="AN141" s="1">
        <f t="shared" si="23"/>
        <v>121.3</v>
      </c>
    </row>
    <row r="142" spans="1:40" x14ac:dyDescent="0.3">
      <c r="A142" s="1" t="s">
        <v>34</v>
      </c>
      <c r="B142" s="1">
        <v>2016</v>
      </c>
      <c r="C142" s="1" t="s">
        <v>45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 s="1">
        <v>129.1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  <c r="AG142" s="1">
        <f t="shared" si="16"/>
        <v>1759.8</v>
      </c>
      <c r="AH142" s="1">
        <f t="shared" si="17"/>
        <v>142</v>
      </c>
      <c r="AI142" s="1">
        <f t="shared" si="18"/>
        <v>400.1</v>
      </c>
      <c r="AJ142" s="1">
        <f t="shared" si="19"/>
        <v>382.7</v>
      </c>
      <c r="AK142" s="1">
        <f t="shared" si="20"/>
        <v>381.80000000000007</v>
      </c>
      <c r="AL142" s="1">
        <f t="shared" si="21"/>
        <v>115.7</v>
      </c>
      <c r="AM142" s="1">
        <f t="shared" si="22"/>
        <v>124</v>
      </c>
      <c r="AN142" s="1">
        <f t="shared" si="23"/>
        <v>123.8</v>
      </c>
    </row>
    <row r="143" spans="1:40" x14ac:dyDescent="0.3">
      <c r="A143" s="1" t="s">
        <v>30</v>
      </c>
      <c r="B143" s="1">
        <v>2016</v>
      </c>
      <c r="C143" s="1" t="s">
        <v>46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s="1" t="s">
        <v>32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  <c r="AG143" s="1">
        <f t="shared" si="16"/>
        <v>1749.1</v>
      </c>
      <c r="AH143" s="1">
        <f t="shared" si="17"/>
        <v>142.4</v>
      </c>
      <c r="AI143" s="1">
        <f t="shared" si="18"/>
        <v>415.3</v>
      </c>
      <c r="AJ143" s="1">
        <f t="shared" si="19"/>
        <v>264.89999999999998</v>
      </c>
      <c r="AK143" s="1">
        <f t="shared" si="20"/>
        <v>385.79999999999995</v>
      </c>
      <c r="AL143" s="1">
        <f t="shared" si="21"/>
        <v>118.6</v>
      </c>
      <c r="AM143" s="1">
        <f t="shared" si="22"/>
        <v>127.3</v>
      </c>
      <c r="AN143" s="1">
        <f t="shared" si="23"/>
        <v>126.3</v>
      </c>
    </row>
    <row r="144" spans="1:40" x14ac:dyDescent="0.3">
      <c r="A144" s="1" t="s">
        <v>33</v>
      </c>
      <c r="B144" s="1">
        <v>2016</v>
      </c>
      <c r="C144" s="1" t="s">
        <v>46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 s="1">
        <v>128.5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  <c r="AG144" s="1">
        <f t="shared" si="16"/>
        <v>1729.8</v>
      </c>
      <c r="AH144" s="1">
        <f t="shared" si="17"/>
        <v>145</v>
      </c>
      <c r="AI144" s="1">
        <f t="shared" si="18"/>
        <v>381</v>
      </c>
      <c r="AJ144" s="1">
        <f t="shared" si="19"/>
        <v>371.3</v>
      </c>
      <c r="AK144" s="1">
        <f t="shared" si="20"/>
        <v>374.5</v>
      </c>
      <c r="AL144" s="1">
        <f t="shared" si="21"/>
        <v>113.7</v>
      </c>
      <c r="AM144" s="1">
        <f t="shared" si="22"/>
        <v>121.8</v>
      </c>
      <c r="AN144" s="1">
        <f t="shared" si="23"/>
        <v>121.4</v>
      </c>
    </row>
    <row r="145" spans="1:40" x14ac:dyDescent="0.3">
      <c r="A145" s="1" t="s">
        <v>34</v>
      </c>
      <c r="B145" s="1">
        <v>2016</v>
      </c>
      <c r="C145" s="1" t="s">
        <v>46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 s="1">
        <v>128.5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  <c r="AG145" s="1">
        <f t="shared" si="16"/>
        <v>1740.7</v>
      </c>
      <c r="AH145" s="1">
        <f t="shared" si="17"/>
        <v>143.1</v>
      </c>
      <c r="AI145" s="1">
        <f t="shared" si="18"/>
        <v>401.5</v>
      </c>
      <c r="AJ145" s="1">
        <f t="shared" si="19"/>
        <v>384.29999999999995</v>
      </c>
      <c r="AK145" s="1">
        <f t="shared" si="20"/>
        <v>381.1</v>
      </c>
      <c r="AL145" s="1">
        <f t="shared" si="21"/>
        <v>116</v>
      </c>
      <c r="AM145" s="1">
        <f t="shared" si="22"/>
        <v>124.2</v>
      </c>
      <c r="AN145" s="1">
        <f t="shared" si="23"/>
        <v>123.9</v>
      </c>
    </row>
    <row r="146" spans="1:40" x14ac:dyDescent="0.3">
      <c r="A146" s="1" t="s">
        <v>30</v>
      </c>
      <c r="B146" s="1">
        <v>2017</v>
      </c>
      <c r="C146" s="1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s="1" t="s">
        <v>32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  <c r="AG146" s="1">
        <f t="shared" si="16"/>
        <v>1737.3000000000002</v>
      </c>
      <c r="AH146" s="1">
        <f t="shared" si="17"/>
        <v>143.1</v>
      </c>
      <c r="AI146" s="1">
        <f t="shared" si="18"/>
        <v>416.5</v>
      </c>
      <c r="AJ146" s="1">
        <f t="shared" si="19"/>
        <v>265.29999999999995</v>
      </c>
      <c r="AK146" s="1">
        <f t="shared" si="20"/>
        <v>386.8</v>
      </c>
      <c r="AL146" s="1">
        <f t="shared" si="21"/>
        <v>119.1</v>
      </c>
      <c r="AM146" s="1">
        <f t="shared" si="22"/>
        <v>127</v>
      </c>
      <c r="AN146" s="1">
        <f t="shared" si="23"/>
        <v>126.6</v>
      </c>
    </row>
    <row r="147" spans="1:40" x14ac:dyDescent="0.3">
      <c r="A147" s="1" t="s">
        <v>33</v>
      </c>
      <c r="B147" s="1">
        <v>2017</v>
      </c>
      <c r="C147" s="1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 s="1">
        <v>129.6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  <c r="AG147" s="1">
        <f t="shared" si="16"/>
        <v>1713.2</v>
      </c>
      <c r="AH147" s="1">
        <f t="shared" si="17"/>
        <v>145.6</v>
      </c>
      <c r="AI147" s="1">
        <f t="shared" si="18"/>
        <v>381.5</v>
      </c>
      <c r="AJ147" s="1">
        <f t="shared" si="19"/>
        <v>372.7</v>
      </c>
      <c r="AK147" s="1">
        <f t="shared" si="20"/>
        <v>375.9</v>
      </c>
      <c r="AL147" s="1">
        <f t="shared" si="21"/>
        <v>115.2</v>
      </c>
      <c r="AM147" s="1">
        <f t="shared" si="22"/>
        <v>122</v>
      </c>
      <c r="AN147" s="1">
        <f t="shared" si="23"/>
        <v>122.1</v>
      </c>
    </row>
    <row r="148" spans="1:40" x14ac:dyDescent="0.3">
      <c r="A148" s="1" t="s">
        <v>34</v>
      </c>
      <c r="B148" s="1">
        <v>2017</v>
      </c>
      <c r="C148" s="1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  <c r="AG148" s="1">
        <f t="shared" si="16"/>
        <v>1727.2999999999995</v>
      </c>
      <c r="AH148" s="1">
        <f t="shared" si="17"/>
        <v>143.80000000000001</v>
      </c>
      <c r="AI148" s="1">
        <f t="shared" si="18"/>
        <v>402.4</v>
      </c>
      <c r="AJ148" s="1">
        <f t="shared" si="19"/>
        <v>385.79999999999995</v>
      </c>
      <c r="AK148" s="1">
        <f t="shared" si="20"/>
        <v>382.09999999999997</v>
      </c>
      <c r="AL148" s="1">
        <f t="shared" si="21"/>
        <v>117</v>
      </c>
      <c r="AM148" s="1">
        <f t="shared" si="22"/>
        <v>124.2</v>
      </c>
      <c r="AN148" s="1">
        <f t="shared" si="23"/>
        <v>124.4</v>
      </c>
    </row>
    <row r="149" spans="1:40" x14ac:dyDescent="0.3">
      <c r="A149" s="1" t="s">
        <v>30</v>
      </c>
      <c r="B149" s="1">
        <v>2017</v>
      </c>
      <c r="C149" s="1" t="s">
        <v>35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s="1" t="s">
        <v>32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  <c r="AG149" s="1">
        <f t="shared" si="16"/>
        <v>1734.5000000000002</v>
      </c>
      <c r="AH149" s="1">
        <f t="shared" si="17"/>
        <v>143.69999999999999</v>
      </c>
      <c r="AI149" s="1">
        <f t="shared" si="18"/>
        <v>416.90000000000003</v>
      </c>
      <c r="AJ149" s="1">
        <f t="shared" si="19"/>
        <v>266.79999999999995</v>
      </c>
      <c r="AK149" s="1">
        <f t="shared" si="20"/>
        <v>388.2</v>
      </c>
      <c r="AL149" s="1">
        <f t="shared" si="21"/>
        <v>119.5</v>
      </c>
      <c r="AM149" s="1">
        <f t="shared" si="22"/>
        <v>127.7</v>
      </c>
      <c r="AN149" s="1">
        <f t="shared" si="23"/>
        <v>127</v>
      </c>
    </row>
    <row r="150" spans="1:40" x14ac:dyDescent="0.3">
      <c r="A150" s="1" t="s">
        <v>33</v>
      </c>
      <c r="B150" s="1">
        <v>2017</v>
      </c>
      <c r="C150" s="1" t="s">
        <v>35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  <c r="AG150" s="1">
        <f t="shared" si="16"/>
        <v>1705.3000000000002</v>
      </c>
      <c r="AH150" s="1">
        <f t="shared" si="17"/>
        <v>146.30000000000001</v>
      </c>
      <c r="AI150" s="1">
        <f t="shared" si="18"/>
        <v>382.3</v>
      </c>
      <c r="AJ150" s="1">
        <f t="shared" si="19"/>
        <v>375</v>
      </c>
      <c r="AK150" s="1">
        <f t="shared" si="20"/>
        <v>377</v>
      </c>
      <c r="AL150" s="1">
        <f t="shared" si="21"/>
        <v>115.5</v>
      </c>
      <c r="AM150" s="1">
        <f t="shared" si="22"/>
        <v>122.2</v>
      </c>
      <c r="AN150" s="1">
        <f t="shared" si="23"/>
        <v>122.4</v>
      </c>
    </row>
    <row r="151" spans="1:40" x14ac:dyDescent="0.3">
      <c r="A151" s="1" t="s">
        <v>34</v>
      </c>
      <c r="B151" s="1">
        <v>2017</v>
      </c>
      <c r="C151" s="1" t="s">
        <v>35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 s="1">
        <v>130.5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  <c r="AG151" s="1">
        <f t="shared" si="16"/>
        <v>1722.3000000000002</v>
      </c>
      <c r="AH151" s="1">
        <f t="shared" si="17"/>
        <v>144.4</v>
      </c>
      <c r="AI151" s="1">
        <f t="shared" si="18"/>
        <v>403</v>
      </c>
      <c r="AJ151" s="1">
        <f t="shared" si="19"/>
        <v>388.09999999999997</v>
      </c>
      <c r="AK151" s="1">
        <f t="shared" si="20"/>
        <v>383.4</v>
      </c>
      <c r="AL151" s="1">
        <f t="shared" si="21"/>
        <v>117.4</v>
      </c>
      <c r="AM151" s="1">
        <f t="shared" si="22"/>
        <v>124.6</v>
      </c>
      <c r="AN151" s="1">
        <f t="shared" si="23"/>
        <v>124.8</v>
      </c>
    </row>
    <row r="152" spans="1:40" x14ac:dyDescent="0.3">
      <c r="A152" s="1" t="s">
        <v>30</v>
      </c>
      <c r="B152" s="1">
        <v>2017</v>
      </c>
      <c r="C152" s="1" t="s">
        <v>36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s="1" t="s">
        <v>32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  <c r="AG152" s="1">
        <f t="shared" si="16"/>
        <v>1728.5000000000002</v>
      </c>
      <c r="AH152" s="1">
        <f t="shared" si="17"/>
        <v>144.19999999999999</v>
      </c>
      <c r="AI152" s="1">
        <f t="shared" si="18"/>
        <v>418.59999999999997</v>
      </c>
      <c r="AJ152" s="1">
        <f t="shared" si="19"/>
        <v>268.29999999999995</v>
      </c>
      <c r="AK152" s="1">
        <f t="shared" si="20"/>
        <v>389.09999999999997</v>
      </c>
      <c r="AL152" s="1">
        <f t="shared" si="21"/>
        <v>119.8</v>
      </c>
      <c r="AM152" s="1">
        <f t="shared" si="22"/>
        <v>128.30000000000001</v>
      </c>
      <c r="AN152" s="1">
        <f t="shared" si="23"/>
        <v>127.4</v>
      </c>
    </row>
    <row r="153" spans="1:40" x14ac:dyDescent="0.3">
      <c r="A153" s="1" t="s">
        <v>33</v>
      </c>
      <c r="B153" s="1">
        <v>2017</v>
      </c>
      <c r="C153" s="1" t="s">
        <v>36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  <c r="AG153" s="1">
        <f t="shared" si="16"/>
        <v>1705.6999999999998</v>
      </c>
      <c r="AH153" s="1">
        <f t="shared" si="17"/>
        <v>147.5</v>
      </c>
      <c r="AI153" s="1">
        <f t="shared" si="18"/>
        <v>383.20000000000005</v>
      </c>
      <c r="AJ153" s="1">
        <f t="shared" si="19"/>
        <v>377.5</v>
      </c>
      <c r="AK153" s="1">
        <f t="shared" si="20"/>
        <v>377.6</v>
      </c>
      <c r="AL153" s="1">
        <f t="shared" si="21"/>
        <v>115.6</v>
      </c>
      <c r="AM153" s="1">
        <f t="shared" si="22"/>
        <v>122.4</v>
      </c>
      <c r="AN153" s="1">
        <f t="shared" si="23"/>
        <v>122.6</v>
      </c>
    </row>
    <row r="154" spans="1:40" x14ac:dyDescent="0.3">
      <c r="A154" s="1" t="s">
        <v>34</v>
      </c>
      <c r="B154" s="1">
        <v>2017</v>
      </c>
      <c r="C154" s="1" t="s">
        <v>36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  <c r="AG154" s="1">
        <f t="shared" si="16"/>
        <v>1718.9</v>
      </c>
      <c r="AH154" s="1">
        <f t="shared" si="17"/>
        <v>145.1</v>
      </c>
      <c r="AI154" s="1">
        <f t="shared" si="18"/>
        <v>404.29999999999995</v>
      </c>
      <c r="AJ154" s="1">
        <f t="shared" si="19"/>
        <v>390.29999999999995</v>
      </c>
      <c r="AK154" s="1">
        <f t="shared" si="20"/>
        <v>384.20000000000005</v>
      </c>
      <c r="AL154" s="1">
        <f t="shared" si="21"/>
        <v>117.6</v>
      </c>
      <c r="AM154" s="1">
        <f t="shared" si="22"/>
        <v>125</v>
      </c>
      <c r="AN154" s="1">
        <f t="shared" si="23"/>
        <v>125.1</v>
      </c>
    </row>
    <row r="155" spans="1:40" x14ac:dyDescent="0.3">
      <c r="A155" s="1" t="s">
        <v>30</v>
      </c>
      <c r="B155" s="1">
        <v>2017</v>
      </c>
      <c r="C155" s="1" t="s">
        <v>37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s="1" t="s">
        <v>32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  <c r="AG155" s="1">
        <f t="shared" si="16"/>
        <v>1726.3</v>
      </c>
      <c r="AH155" s="1">
        <f t="shared" si="17"/>
        <v>144.4</v>
      </c>
      <c r="AI155" s="1">
        <f t="shared" si="18"/>
        <v>420.80000000000007</v>
      </c>
      <c r="AJ155" s="1">
        <f t="shared" si="19"/>
        <v>269.3</v>
      </c>
      <c r="AK155" s="1">
        <f t="shared" si="20"/>
        <v>390.4</v>
      </c>
      <c r="AL155" s="1">
        <f t="shared" si="21"/>
        <v>119.2</v>
      </c>
      <c r="AM155" s="1">
        <f t="shared" si="22"/>
        <v>128.30000000000001</v>
      </c>
      <c r="AN155" s="1">
        <f t="shared" si="23"/>
        <v>127.5</v>
      </c>
    </row>
    <row r="156" spans="1:40" x14ac:dyDescent="0.3">
      <c r="A156" s="1" t="s">
        <v>33</v>
      </c>
      <c r="B156" s="1">
        <v>2017</v>
      </c>
      <c r="C156" s="1" t="s">
        <v>37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 s="1">
        <v>131.69999999999999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  <c r="AG156" s="1">
        <f t="shared" si="16"/>
        <v>1708.1</v>
      </c>
      <c r="AH156" s="1">
        <f t="shared" si="17"/>
        <v>148</v>
      </c>
      <c r="AI156" s="1">
        <f t="shared" si="18"/>
        <v>384.2</v>
      </c>
      <c r="AJ156" s="1">
        <f t="shared" si="19"/>
        <v>379.1</v>
      </c>
      <c r="AK156" s="1">
        <f t="shared" si="20"/>
        <v>379.2</v>
      </c>
      <c r="AL156" s="1">
        <f t="shared" si="21"/>
        <v>114.3</v>
      </c>
      <c r="AM156" s="1">
        <f t="shared" si="22"/>
        <v>122.6</v>
      </c>
      <c r="AN156" s="1">
        <f t="shared" si="23"/>
        <v>122.5</v>
      </c>
    </row>
    <row r="157" spans="1:40" x14ac:dyDescent="0.3">
      <c r="A157" s="1" t="s">
        <v>34</v>
      </c>
      <c r="B157" s="1">
        <v>2017</v>
      </c>
      <c r="C157" s="1" t="s">
        <v>37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 s="1">
        <v>131.69999999999999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  <c r="AG157" s="1">
        <f t="shared" si="16"/>
        <v>1718.4</v>
      </c>
      <c r="AH157" s="1">
        <f t="shared" si="17"/>
        <v>145.4</v>
      </c>
      <c r="AI157" s="1">
        <f t="shared" si="18"/>
        <v>406.1</v>
      </c>
      <c r="AJ157" s="1">
        <f t="shared" si="19"/>
        <v>391.9</v>
      </c>
      <c r="AK157" s="1">
        <f t="shared" si="20"/>
        <v>385.70000000000005</v>
      </c>
      <c r="AL157" s="1">
        <f t="shared" si="21"/>
        <v>116.6</v>
      </c>
      <c r="AM157" s="1">
        <f t="shared" si="22"/>
        <v>125.1</v>
      </c>
      <c r="AN157" s="1">
        <f t="shared" si="23"/>
        <v>125.1</v>
      </c>
    </row>
    <row r="158" spans="1:40" x14ac:dyDescent="0.3">
      <c r="A158" s="1" t="s">
        <v>30</v>
      </c>
      <c r="B158" s="1">
        <v>2017</v>
      </c>
      <c r="C158" s="1" t="s">
        <v>38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s="1" t="s">
        <v>32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  <c r="AG158" s="1">
        <f t="shared" si="16"/>
        <v>1727.4999999999995</v>
      </c>
      <c r="AH158" s="1">
        <f t="shared" si="17"/>
        <v>145.5</v>
      </c>
      <c r="AI158" s="1">
        <f t="shared" si="18"/>
        <v>421.6</v>
      </c>
      <c r="AJ158" s="1">
        <f t="shared" si="19"/>
        <v>269.89999999999998</v>
      </c>
      <c r="AK158" s="1">
        <f t="shared" si="20"/>
        <v>391.40000000000003</v>
      </c>
      <c r="AL158" s="1">
        <f t="shared" si="21"/>
        <v>119.4</v>
      </c>
      <c r="AM158" s="1">
        <f t="shared" si="22"/>
        <v>129.4</v>
      </c>
      <c r="AN158" s="1">
        <f t="shared" si="23"/>
        <v>127.9</v>
      </c>
    </row>
    <row r="159" spans="1:40" x14ac:dyDescent="0.3">
      <c r="A159" s="1" t="s">
        <v>33</v>
      </c>
      <c r="B159" s="1">
        <v>2017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  <c r="AG159" s="1">
        <f t="shared" si="16"/>
        <v>1709.6</v>
      </c>
      <c r="AH159" s="1">
        <f t="shared" si="17"/>
        <v>148.30000000000001</v>
      </c>
      <c r="AI159" s="1">
        <f t="shared" si="18"/>
        <v>384.9</v>
      </c>
      <c r="AJ159" s="1">
        <f t="shared" si="19"/>
        <v>378.7</v>
      </c>
      <c r="AK159" s="1">
        <f t="shared" si="20"/>
        <v>379.4</v>
      </c>
      <c r="AL159" s="1">
        <f t="shared" si="21"/>
        <v>114.3</v>
      </c>
      <c r="AM159" s="1">
        <f t="shared" si="22"/>
        <v>122.8</v>
      </c>
      <c r="AN159" s="1">
        <f t="shared" si="23"/>
        <v>122.6</v>
      </c>
    </row>
    <row r="160" spans="1:40" x14ac:dyDescent="0.3">
      <c r="A160" s="1" t="s">
        <v>34</v>
      </c>
      <c r="B160" s="1">
        <v>2017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  <c r="AG160" s="1">
        <f t="shared" si="16"/>
        <v>1719.6000000000001</v>
      </c>
      <c r="AH160" s="1">
        <f t="shared" si="17"/>
        <v>146.19999999999999</v>
      </c>
      <c r="AI160" s="1">
        <f t="shared" si="18"/>
        <v>406.8</v>
      </c>
      <c r="AJ160" s="1">
        <f t="shared" si="19"/>
        <v>392.4</v>
      </c>
      <c r="AK160" s="1">
        <f t="shared" si="20"/>
        <v>386.20000000000005</v>
      </c>
      <c r="AL160" s="1">
        <f t="shared" si="21"/>
        <v>116.7</v>
      </c>
      <c r="AM160" s="1">
        <f t="shared" si="22"/>
        <v>125.7</v>
      </c>
      <c r="AN160" s="1">
        <f t="shared" si="23"/>
        <v>125.3</v>
      </c>
    </row>
    <row r="161" spans="1:40" x14ac:dyDescent="0.3">
      <c r="A161" s="1" t="s">
        <v>30</v>
      </c>
      <c r="B161" s="1">
        <v>2017</v>
      </c>
      <c r="C161" s="1" t="s">
        <v>39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s="1" t="s">
        <v>32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  <c r="AG161" s="1">
        <f t="shared" si="16"/>
        <v>1738.8000000000002</v>
      </c>
      <c r="AH161" s="1">
        <f t="shared" si="17"/>
        <v>145.80000000000001</v>
      </c>
      <c r="AI161" s="1">
        <f t="shared" si="18"/>
        <v>423.09999999999997</v>
      </c>
      <c r="AJ161" s="1">
        <f t="shared" si="19"/>
        <v>270</v>
      </c>
      <c r="AK161" s="1">
        <f t="shared" si="20"/>
        <v>392.30000000000007</v>
      </c>
      <c r="AL161" s="1">
        <f t="shared" si="21"/>
        <v>119.4</v>
      </c>
      <c r="AM161" s="1">
        <f t="shared" si="22"/>
        <v>129.80000000000001</v>
      </c>
      <c r="AN161" s="1">
        <f t="shared" si="23"/>
        <v>128.1</v>
      </c>
    </row>
    <row r="162" spans="1:40" x14ac:dyDescent="0.3">
      <c r="A162" s="1" t="s">
        <v>33</v>
      </c>
      <c r="B162" s="1">
        <v>2017</v>
      </c>
      <c r="C162" s="1" t="s">
        <v>39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 s="1">
        <v>131.4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  <c r="AG162" s="1">
        <f t="shared" si="16"/>
        <v>1731.0000000000002</v>
      </c>
      <c r="AH162" s="1">
        <f t="shared" si="17"/>
        <v>148.6</v>
      </c>
      <c r="AI162" s="1">
        <f t="shared" si="18"/>
        <v>384.9</v>
      </c>
      <c r="AJ162" s="1">
        <f t="shared" si="19"/>
        <v>377.2</v>
      </c>
      <c r="AK162" s="1">
        <f t="shared" si="20"/>
        <v>380.6</v>
      </c>
      <c r="AL162" s="1">
        <f t="shared" si="21"/>
        <v>113.9</v>
      </c>
      <c r="AM162" s="1">
        <f t="shared" si="22"/>
        <v>122.9</v>
      </c>
      <c r="AN162" s="1">
        <f t="shared" si="23"/>
        <v>122.7</v>
      </c>
    </row>
    <row r="163" spans="1:40" x14ac:dyDescent="0.3">
      <c r="A163" s="1" t="s">
        <v>34</v>
      </c>
      <c r="B163" s="1">
        <v>2017</v>
      </c>
      <c r="C163" s="1" t="s">
        <v>39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 s="1">
        <v>131.4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  <c r="AG163" s="1">
        <f t="shared" si="16"/>
        <v>1734.7</v>
      </c>
      <c r="AH163" s="1">
        <f t="shared" si="17"/>
        <v>146.5</v>
      </c>
      <c r="AI163" s="1">
        <f t="shared" si="18"/>
        <v>407.7</v>
      </c>
      <c r="AJ163" s="1">
        <f t="shared" si="19"/>
        <v>391.40000000000003</v>
      </c>
      <c r="AK163" s="1">
        <f t="shared" si="20"/>
        <v>387.29999999999995</v>
      </c>
      <c r="AL163" s="1">
        <f t="shared" si="21"/>
        <v>116.5</v>
      </c>
      <c r="AM163" s="1">
        <f t="shared" si="22"/>
        <v>125.9</v>
      </c>
      <c r="AN163" s="1">
        <f t="shared" si="23"/>
        <v>125.5</v>
      </c>
    </row>
    <row r="164" spans="1:40" x14ac:dyDescent="0.3">
      <c r="A164" s="1" t="s">
        <v>30</v>
      </c>
      <c r="B164" s="1">
        <v>2017</v>
      </c>
      <c r="C164" s="1" t="s">
        <v>40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s="1" t="s">
        <v>32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  <c r="AG164" s="1">
        <f t="shared" si="16"/>
        <v>1772.9</v>
      </c>
      <c r="AH164" s="1">
        <f t="shared" si="17"/>
        <v>147.4</v>
      </c>
      <c r="AI164" s="1">
        <f t="shared" si="18"/>
        <v>425.9</v>
      </c>
      <c r="AJ164" s="1">
        <f t="shared" si="19"/>
        <v>271.39999999999998</v>
      </c>
      <c r="AK164" s="1">
        <f t="shared" si="20"/>
        <v>395.1</v>
      </c>
      <c r="AL164" s="1">
        <f t="shared" si="21"/>
        <v>119.1</v>
      </c>
      <c r="AM164" s="1">
        <f t="shared" si="22"/>
        <v>130.6</v>
      </c>
      <c r="AN164" s="1">
        <f t="shared" si="23"/>
        <v>128.6</v>
      </c>
    </row>
    <row r="165" spans="1:40" x14ac:dyDescent="0.3">
      <c r="A165" s="1" t="s">
        <v>33</v>
      </c>
      <c r="B165" s="1">
        <v>2017</v>
      </c>
      <c r="C165" s="1" t="s">
        <v>40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  <c r="AG165" s="1">
        <f t="shared" si="16"/>
        <v>1768.1</v>
      </c>
      <c r="AH165" s="1">
        <f t="shared" si="17"/>
        <v>150.5</v>
      </c>
      <c r="AI165" s="1">
        <f t="shared" si="18"/>
        <v>385.70000000000005</v>
      </c>
      <c r="AJ165" s="1">
        <f t="shared" si="19"/>
        <v>379.5</v>
      </c>
      <c r="AK165" s="1">
        <f t="shared" si="20"/>
        <v>382.9</v>
      </c>
      <c r="AL165" s="1">
        <f t="shared" si="21"/>
        <v>113.2</v>
      </c>
      <c r="AM165" s="1">
        <f t="shared" si="22"/>
        <v>123.5</v>
      </c>
      <c r="AN165" s="1">
        <f t="shared" si="23"/>
        <v>123</v>
      </c>
    </row>
    <row r="166" spans="1:40" x14ac:dyDescent="0.3">
      <c r="A166" s="1" t="s">
        <v>34</v>
      </c>
      <c r="B166" s="1">
        <v>2017</v>
      </c>
      <c r="C166" s="1" t="s">
        <v>40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  <c r="AG166" s="1">
        <f t="shared" si="16"/>
        <v>1769.3999999999999</v>
      </c>
      <c r="AH166" s="1">
        <f t="shared" si="17"/>
        <v>148.19999999999999</v>
      </c>
      <c r="AI166" s="1">
        <f t="shared" si="18"/>
        <v>409.7</v>
      </c>
      <c r="AJ166" s="1">
        <f t="shared" si="19"/>
        <v>393.9</v>
      </c>
      <c r="AK166" s="1">
        <f t="shared" si="20"/>
        <v>389.80000000000007</v>
      </c>
      <c r="AL166" s="1">
        <f t="shared" si="21"/>
        <v>116</v>
      </c>
      <c r="AM166" s="1">
        <f t="shared" si="22"/>
        <v>126.6</v>
      </c>
      <c r="AN166" s="1">
        <f t="shared" si="23"/>
        <v>125.9</v>
      </c>
    </row>
    <row r="167" spans="1:40" x14ac:dyDescent="0.3">
      <c r="A167" s="1" t="s">
        <v>30</v>
      </c>
      <c r="B167" s="1">
        <v>2017</v>
      </c>
      <c r="C167" s="1" t="s">
        <v>41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s="1" t="s">
        <v>32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  <c r="AG167" s="1">
        <f t="shared" si="16"/>
        <v>1792.4999999999998</v>
      </c>
      <c r="AH167" s="1">
        <f t="shared" si="17"/>
        <v>149</v>
      </c>
      <c r="AI167" s="1">
        <f t="shared" si="18"/>
        <v>429</v>
      </c>
      <c r="AJ167" s="1">
        <f t="shared" si="19"/>
        <v>273.70000000000005</v>
      </c>
      <c r="AK167" s="1">
        <f t="shared" si="20"/>
        <v>398.6</v>
      </c>
      <c r="AL167" s="1">
        <f t="shared" si="21"/>
        <v>120.3</v>
      </c>
      <c r="AM167" s="1">
        <f t="shared" si="22"/>
        <v>131.5</v>
      </c>
      <c r="AN167" s="1">
        <f t="shared" si="23"/>
        <v>129.69999999999999</v>
      </c>
    </row>
    <row r="168" spans="1:40" x14ac:dyDescent="0.3">
      <c r="A168" s="1" t="s">
        <v>33</v>
      </c>
      <c r="B168" s="1">
        <v>2017</v>
      </c>
      <c r="C168" s="1" t="s">
        <v>41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  <c r="AG168" s="1">
        <f t="shared" si="16"/>
        <v>1772.9999999999998</v>
      </c>
      <c r="AH168" s="1">
        <f t="shared" si="17"/>
        <v>152.1</v>
      </c>
      <c r="AI168" s="1">
        <f t="shared" si="18"/>
        <v>388.4</v>
      </c>
      <c r="AJ168" s="1">
        <f t="shared" si="19"/>
        <v>381</v>
      </c>
      <c r="AK168" s="1">
        <f t="shared" si="20"/>
        <v>384.7</v>
      </c>
      <c r="AL168" s="1">
        <f t="shared" si="21"/>
        <v>114.6</v>
      </c>
      <c r="AM168" s="1">
        <f t="shared" si="22"/>
        <v>124.1</v>
      </c>
      <c r="AN168" s="1">
        <f t="shared" si="23"/>
        <v>123.8</v>
      </c>
    </row>
    <row r="169" spans="1:40" x14ac:dyDescent="0.3">
      <c r="A169" s="1" t="s">
        <v>34</v>
      </c>
      <c r="B169" s="1">
        <v>2017</v>
      </c>
      <c r="C169" s="1" t="s">
        <v>41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 s="1">
        <v>134.4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  <c r="AG169" s="1">
        <f t="shared" si="16"/>
        <v>1783.8</v>
      </c>
      <c r="AH169" s="1">
        <f t="shared" si="17"/>
        <v>149.80000000000001</v>
      </c>
      <c r="AI169" s="1">
        <f t="shared" si="18"/>
        <v>412.6</v>
      </c>
      <c r="AJ169" s="1">
        <f t="shared" si="19"/>
        <v>397.00000000000006</v>
      </c>
      <c r="AK169" s="1">
        <f t="shared" si="20"/>
        <v>392.29999999999995</v>
      </c>
      <c r="AL169" s="1">
        <f t="shared" si="21"/>
        <v>117.3</v>
      </c>
      <c r="AM169" s="1">
        <f t="shared" si="22"/>
        <v>127.3</v>
      </c>
      <c r="AN169" s="1">
        <f t="shared" si="23"/>
        <v>126.8</v>
      </c>
    </row>
    <row r="170" spans="1:40" x14ac:dyDescent="0.3">
      <c r="A170" s="1" t="s">
        <v>30</v>
      </c>
      <c r="B170" s="1">
        <v>2017</v>
      </c>
      <c r="C170" s="1" t="s">
        <v>42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  <c r="AG170" s="1">
        <f t="shared" si="16"/>
        <v>1784.3</v>
      </c>
      <c r="AH170" s="1">
        <f t="shared" si="17"/>
        <v>149.80000000000001</v>
      </c>
      <c r="AI170" s="1">
        <f t="shared" si="18"/>
        <v>430.99999999999994</v>
      </c>
      <c r="AJ170" s="1">
        <f t="shared" si="19"/>
        <v>275.3</v>
      </c>
      <c r="AK170" s="1">
        <f t="shared" si="20"/>
        <v>399.7</v>
      </c>
      <c r="AL170" s="1">
        <f t="shared" si="21"/>
        <v>121.2</v>
      </c>
      <c r="AM170" s="1">
        <f t="shared" si="22"/>
        <v>132.30000000000001</v>
      </c>
      <c r="AN170" s="1">
        <f t="shared" si="23"/>
        <v>130.30000000000001</v>
      </c>
    </row>
    <row r="171" spans="1:40" x14ac:dyDescent="0.3">
      <c r="A171" s="1" t="s">
        <v>33</v>
      </c>
      <c r="B171" s="1">
        <v>2017</v>
      </c>
      <c r="C171" s="1" t="s">
        <v>42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 s="1">
        <v>135.69999999999999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  <c r="AG171" s="1">
        <f t="shared" si="16"/>
        <v>1749.7</v>
      </c>
      <c r="AH171" s="1">
        <f t="shared" si="17"/>
        <v>153.6</v>
      </c>
      <c r="AI171" s="1">
        <f t="shared" si="18"/>
        <v>389.9</v>
      </c>
      <c r="AJ171" s="1">
        <f t="shared" si="19"/>
        <v>384.4</v>
      </c>
      <c r="AK171" s="1">
        <f t="shared" si="20"/>
        <v>386.4</v>
      </c>
      <c r="AL171" s="1">
        <f t="shared" si="21"/>
        <v>115.7</v>
      </c>
      <c r="AM171" s="1">
        <f t="shared" si="22"/>
        <v>124.5</v>
      </c>
      <c r="AN171" s="1">
        <f t="shared" si="23"/>
        <v>124.5</v>
      </c>
    </row>
    <row r="172" spans="1:40" x14ac:dyDescent="0.3">
      <c r="A172" s="1" t="s">
        <v>34</v>
      </c>
      <c r="B172" s="1">
        <v>2017</v>
      </c>
      <c r="C172" s="1" t="s">
        <v>42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 s="1">
        <v>135.69999999999999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  <c r="AG172" s="1">
        <f t="shared" si="16"/>
        <v>1769.9999999999998</v>
      </c>
      <c r="AH172" s="1">
        <f t="shared" si="17"/>
        <v>150.80000000000001</v>
      </c>
      <c r="AI172" s="1">
        <f t="shared" si="18"/>
        <v>414.5</v>
      </c>
      <c r="AJ172" s="1">
        <f t="shared" si="19"/>
        <v>400</v>
      </c>
      <c r="AK172" s="1">
        <f t="shared" si="20"/>
        <v>393.7</v>
      </c>
      <c r="AL172" s="1">
        <f t="shared" si="21"/>
        <v>118.3</v>
      </c>
      <c r="AM172" s="1">
        <f t="shared" si="22"/>
        <v>127.9</v>
      </c>
      <c r="AN172" s="1">
        <f t="shared" si="23"/>
        <v>127.5</v>
      </c>
    </row>
    <row r="173" spans="1:40" x14ac:dyDescent="0.3">
      <c r="A173" s="1" t="s">
        <v>30</v>
      </c>
      <c r="B173" s="1">
        <v>2017</v>
      </c>
      <c r="C173" s="1" t="s">
        <v>43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s="1" t="s">
        <v>32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  <c r="AG173" s="1">
        <f t="shared" si="16"/>
        <v>1790.8999999999999</v>
      </c>
      <c r="AH173" s="1">
        <f t="shared" si="17"/>
        <v>150.5</v>
      </c>
      <c r="AI173" s="1">
        <f t="shared" si="18"/>
        <v>433.99999999999994</v>
      </c>
      <c r="AJ173" s="1">
        <f t="shared" si="19"/>
        <v>276.5</v>
      </c>
      <c r="AK173" s="1">
        <f t="shared" si="20"/>
        <v>401.69999999999993</v>
      </c>
      <c r="AL173" s="1">
        <f t="shared" si="21"/>
        <v>121</v>
      </c>
      <c r="AM173" s="1">
        <f t="shared" si="22"/>
        <v>133</v>
      </c>
      <c r="AN173" s="1">
        <f t="shared" si="23"/>
        <v>130.69999999999999</v>
      </c>
    </row>
    <row r="174" spans="1:40" x14ac:dyDescent="0.3">
      <c r="A174" s="1" t="s">
        <v>33</v>
      </c>
      <c r="B174" s="1">
        <v>2017</v>
      </c>
      <c r="C174" s="1" t="s">
        <v>43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 s="1">
        <v>137.30000000000001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  <c r="AG174" s="1">
        <f t="shared" si="16"/>
        <v>1765.6999999999998</v>
      </c>
      <c r="AH174" s="1">
        <f t="shared" si="17"/>
        <v>154.6</v>
      </c>
      <c r="AI174" s="1">
        <f t="shared" si="18"/>
        <v>391.5</v>
      </c>
      <c r="AJ174" s="1">
        <f t="shared" si="19"/>
        <v>388.2</v>
      </c>
      <c r="AK174" s="1">
        <f t="shared" si="20"/>
        <v>387.5</v>
      </c>
      <c r="AL174" s="1">
        <f t="shared" si="21"/>
        <v>115</v>
      </c>
      <c r="AM174" s="1">
        <f t="shared" si="22"/>
        <v>124.8</v>
      </c>
      <c r="AN174" s="1">
        <f t="shared" si="23"/>
        <v>124.5</v>
      </c>
    </row>
    <row r="175" spans="1:40" x14ac:dyDescent="0.3">
      <c r="A175" s="1" t="s">
        <v>34</v>
      </c>
      <c r="B175" s="1">
        <v>2017</v>
      </c>
      <c r="C175" s="1" t="s">
        <v>43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 s="1">
        <v>137.30000000000001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  <c r="AG175" s="1">
        <f t="shared" si="16"/>
        <v>1779.6999999999998</v>
      </c>
      <c r="AH175" s="1">
        <f t="shared" si="17"/>
        <v>151.6</v>
      </c>
      <c r="AI175" s="1">
        <f t="shared" si="18"/>
        <v>416.90000000000003</v>
      </c>
      <c r="AJ175" s="1">
        <f t="shared" si="19"/>
        <v>403.1</v>
      </c>
      <c r="AK175" s="1">
        <f t="shared" si="20"/>
        <v>395.40000000000003</v>
      </c>
      <c r="AL175" s="1">
        <f t="shared" si="21"/>
        <v>117.8</v>
      </c>
      <c r="AM175" s="1">
        <f t="shared" si="22"/>
        <v>128.4</v>
      </c>
      <c r="AN175" s="1">
        <f t="shared" si="23"/>
        <v>127.7</v>
      </c>
    </row>
    <row r="176" spans="1:40" x14ac:dyDescent="0.3">
      <c r="A176" s="1" t="s">
        <v>30</v>
      </c>
      <c r="B176" s="1">
        <v>2017</v>
      </c>
      <c r="C176" s="1" t="s">
        <v>45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s="1" t="s">
        <v>32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  <c r="AG176" s="1">
        <f t="shared" si="16"/>
        <v>1817.7000000000003</v>
      </c>
      <c r="AH176" s="1">
        <f t="shared" si="17"/>
        <v>152.1</v>
      </c>
      <c r="AI176" s="1">
        <f t="shared" si="18"/>
        <v>437</v>
      </c>
      <c r="AJ176" s="1">
        <f t="shared" si="19"/>
        <v>280.5</v>
      </c>
      <c r="AK176" s="1">
        <f t="shared" si="20"/>
        <v>405.4</v>
      </c>
      <c r="AL176" s="1">
        <f t="shared" si="21"/>
        <v>121.6</v>
      </c>
      <c r="AM176" s="1">
        <f t="shared" si="22"/>
        <v>133.69999999999999</v>
      </c>
      <c r="AN176" s="1">
        <f t="shared" si="23"/>
        <v>131.69999999999999</v>
      </c>
    </row>
    <row r="177" spans="1:40" x14ac:dyDescent="0.3">
      <c r="A177" s="1" t="s">
        <v>33</v>
      </c>
      <c r="B177" s="1">
        <v>2017</v>
      </c>
      <c r="C177" s="1" t="s">
        <v>45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  <c r="AG177" s="1">
        <f t="shared" si="16"/>
        <v>1796.7</v>
      </c>
      <c r="AH177" s="1">
        <f t="shared" si="17"/>
        <v>156.19999999999999</v>
      </c>
      <c r="AI177" s="1">
        <f t="shared" si="18"/>
        <v>393.9</v>
      </c>
      <c r="AJ177" s="1">
        <f t="shared" si="19"/>
        <v>393.1</v>
      </c>
      <c r="AK177" s="1">
        <f t="shared" si="20"/>
        <v>388.9</v>
      </c>
      <c r="AL177" s="1">
        <f t="shared" si="21"/>
        <v>115.3</v>
      </c>
      <c r="AM177" s="1">
        <f t="shared" si="22"/>
        <v>125.1</v>
      </c>
      <c r="AN177" s="1">
        <f t="shared" si="23"/>
        <v>124.9</v>
      </c>
    </row>
    <row r="178" spans="1:40" x14ac:dyDescent="0.3">
      <c r="A178" s="1" t="s">
        <v>34</v>
      </c>
      <c r="B178" s="1">
        <v>2017</v>
      </c>
      <c r="C178" s="1" t="s">
        <v>45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 s="1">
        <v>138.6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  <c r="AG178" s="1">
        <f t="shared" si="16"/>
        <v>1808.2</v>
      </c>
      <c r="AH178" s="1">
        <f t="shared" si="17"/>
        <v>153.19999999999999</v>
      </c>
      <c r="AI178" s="1">
        <f t="shared" si="18"/>
        <v>419.6</v>
      </c>
      <c r="AJ178" s="1">
        <f t="shared" si="19"/>
        <v>408.29999999999995</v>
      </c>
      <c r="AK178" s="1">
        <f t="shared" si="20"/>
        <v>398</v>
      </c>
      <c r="AL178" s="1">
        <f t="shared" si="21"/>
        <v>118.3</v>
      </c>
      <c r="AM178" s="1">
        <f t="shared" si="22"/>
        <v>128.9</v>
      </c>
      <c r="AN178" s="1">
        <f t="shared" si="23"/>
        <v>128.4</v>
      </c>
    </row>
    <row r="179" spans="1:40" x14ac:dyDescent="0.3">
      <c r="A179" s="1" t="s">
        <v>30</v>
      </c>
      <c r="B179" s="1">
        <v>2017</v>
      </c>
      <c r="C179" s="1" t="s">
        <v>46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  <c r="AG179" s="1">
        <f t="shared" si="16"/>
        <v>1813.6000000000001</v>
      </c>
      <c r="AH179" s="1">
        <f t="shared" si="17"/>
        <v>153.19999999999999</v>
      </c>
      <c r="AI179" s="1">
        <f t="shared" si="18"/>
        <v>437.09999999999997</v>
      </c>
      <c r="AJ179" s="1">
        <f t="shared" si="19"/>
        <v>282.10000000000002</v>
      </c>
      <c r="AK179" s="1">
        <f t="shared" si="20"/>
        <v>405</v>
      </c>
      <c r="AL179" s="1">
        <f t="shared" si="21"/>
        <v>122</v>
      </c>
      <c r="AM179" s="1">
        <f t="shared" si="22"/>
        <v>133.4</v>
      </c>
      <c r="AN179" s="1">
        <f t="shared" si="23"/>
        <v>131.9</v>
      </c>
    </row>
    <row r="180" spans="1:40" x14ac:dyDescent="0.3">
      <c r="A180" s="1" t="s">
        <v>33</v>
      </c>
      <c r="B180" s="1">
        <v>2017</v>
      </c>
      <c r="C180" s="1" t="s">
        <v>46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 s="1">
        <v>139.1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  <c r="AG180" s="1">
        <f t="shared" si="16"/>
        <v>1767.5</v>
      </c>
      <c r="AH180" s="1">
        <f t="shared" si="17"/>
        <v>157</v>
      </c>
      <c r="AI180" s="1">
        <f t="shared" si="18"/>
        <v>395.2</v>
      </c>
      <c r="AJ180" s="1">
        <f t="shared" si="19"/>
        <v>395.2</v>
      </c>
      <c r="AK180" s="1">
        <f t="shared" si="20"/>
        <v>389.5</v>
      </c>
      <c r="AL180" s="1">
        <f t="shared" si="21"/>
        <v>115.3</v>
      </c>
      <c r="AM180" s="1">
        <f t="shared" si="22"/>
        <v>125.6</v>
      </c>
      <c r="AN180" s="1">
        <f t="shared" si="23"/>
        <v>125.1</v>
      </c>
    </row>
    <row r="181" spans="1:40" x14ac:dyDescent="0.3">
      <c r="A181" s="1" t="s">
        <v>34</v>
      </c>
      <c r="B181" s="1">
        <v>2017</v>
      </c>
      <c r="C181" s="1" t="s">
        <v>46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 s="1">
        <v>139.1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  <c r="AG181" s="1">
        <f t="shared" si="16"/>
        <v>1794.9999999999998</v>
      </c>
      <c r="AH181" s="1">
        <f t="shared" si="17"/>
        <v>154.19999999999999</v>
      </c>
      <c r="AI181" s="1">
        <f t="shared" si="18"/>
        <v>420.2</v>
      </c>
      <c r="AJ181" s="1">
        <f t="shared" si="19"/>
        <v>410.4</v>
      </c>
      <c r="AK181" s="1">
        <f t="shared" si="20"/>
        <v>398.1</v>
      </c>
      <c r="AL181" s="1">
        <f t="shared" si="21"/>
        <v>118.5</v>
      </c>
      <c r="AM181" s="1">
        <f t="shared" si="22"/>
        <v>129</v>
      </c>
      <c r="AN181" s="1">
        <f t="shared" si="23"/>
        <v>128.6</v>
      </c>
    </row>
    <row r="182" spans="1:40" x14ac:dyDescent="0.3">
      <c r="A182" s="1" t="s">
        <v>30</v>
      </c>
      <c r="B182" s="1">
        <v>2018</v>
      </c>
      <c r="C182" s="1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s="1" t="s">
        <v>32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  <c r="AG182" s="1">
        <f t="shared" si="16"/>
        <v>1800.7</v>
      </c>
      <c r="AH182" s="1">
        <f t="shared" si="17"/>
        <v>153.6</v>
      </c>
      <c r="AI182" s="1">
        <f t="shared" si="18"/>
        <v>438.1</v>
      </c>
      <c r="AJ182" s="1">
        <f t="shared" si="19"/>
        <v>282.10000000000002</v>
      </c>
      <c r="AK182" s="1">
        <f t="shared" si="20"/>
        <v>406.20000000000005</v>
      </c>
      <c r="AL182" s="1">
        <f t="shared" si="21"/>
        <v>122.7</v>
      </c>
      <c r="AM182" s="1">
        <f t="shared" si="22"/>
        <v>134.30000000000001</v>
      </c>
      <c r="AN182" s="1">
        <f t="shared" si="23"/>
        <v>132.30000000000001</v>
      </c>
    </row>
    <row r="183" spans="1:40" x14ac:dyDescent="0.3">
      <c r="A183" s="1" t="s">
        <v>33</v>
      </c>
      <c r="B183" s="1">
        <v>2018</v>
      </c>
      <c r="C183" s="1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  <c r="AG183" s="1">
        <f t="shared" si="16"/>
        <v>1748.3000000000002</v>
      </c>
      <c r="AH183" s="1">
        <f t="shared" si="17"/>
        <v>157.69999999999999</v>
      </c>
      <c r="AI183" s="1">
        <f t="shared" si="18"/>
        <v>396.29999999999995</v>
      </c>
      <c r="AJ183" s="1">
        <f t="shared" si="19"/>
        <v>397.2</v>
      </c>
      <c r="AK183" s="1">
        <f t="shared" si="20"/>
        <v>391.6</v>
      </c>
      <c r="AL183" s="1">
        <f t="shared" si="21"/>
        <v>116.3</v>
      </c>
      <c r="AM183" s="1">
        <f t="shared" si="22"/>
        <v>126.2</v>
      </c>
      <c r="AN183" s="1">
        <f t="shared" si="23"/>
        <v>125.8</v>
      </c>
    </row>
    <row r="184" spans="1:40" x14ac:dyDescent="0.3">
      <c r="A184" s="1" t="s">
        <v>34</v>
      </c>
      <c r="B184" s="1">
        <v>2018</v>
      </c>
      <c r="C184" s="1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 s="1">
        <v>140.4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  <c r="AG184" s="1">
        <f t="shared" si="16"/>
        <v>1779.9</v>
      </c>
      <c r="AH184" s="1">
        <f t="shared" si="17"/>
        <v>154.69999999999999</v>
      </c>
      <c r="AI184" s="1">
        <f t="shared" si="18"/>
        <v>421.3</v>
      </c>
      <c r="AJ184" s="1">
        <f t="shared" si="19"/>
        <v>411.9</v>
      </c>
      <c r="AK184" s="1">
        <f t="shared" si="20"/>
        <v>399.6</v>
      </c>
      <c r="AL184" s="1">
        <f t="shared" si="21"/>
        <v>119.3</v>
      </c>
      <c r="AM184" s="1">
        <f t="shared" si="22"/>
        <v>129.69999999999999</v>
      </c>
      <c r="AN184" s="1">
        <f t="shared" si="23"/>
        <v>129.1</v>
      </c>
    </row>
    <row r="185" spans="1:40" x14ac:dyDescent="0.3">
      <c r="A185" s="1" t="s">
        <v>30</v>
      </c>
      <c r="B185" s="1">
        <v>2018</v>
      </c>
      <c r="C185" s="1" t="s">
        <v>35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s="1" t="s">
        <v>32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  <c r="AG185" s="1">
        <f t="shared" si="16"/>
        <v>1781.5</v>
      </c>
      <c r="AH185" s="1">
        <f t="shared" si="17"/>
        <v>153.30000000000001</v>
      </c>
      <c r="AI185" s="1">
        <f t="shared" si="18"/>
        <v>438.90000000000003</v>
      </c>
      <c r="AJ185" s="1">
        <f t="shared" si="19"/>
        <v>282.3</v>
      </c>
      <c r="AK185" s="1">
        <f t="shared" si="20"/>
        <v>406.5</v>
      </c>
      <c r="AL185" s="1">
        <f t="shared" si="21"/>
        <v>123.3</v>
      </c>
      <c r="AM185" s="1">
        <f t="shared" si="22"/>
        <v>134.30000000000001</v>
      </c>
      <c r="AN185" s="1">
        <f t="shared" si="23"/>
        <v>132.5</v>
      </c>
    </row>
    <row r="186" spans="1:40" x14ac:dyDescent="0.3">
      <c r="A186" s="1" t="s">
        <v>33</v>
      </c>
      <c r="B186" s="1">
        <v>2018</v>
      </c>
      <c r="C186" s="1" t="s">
        <v>35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 s="1">
        <v>141.30000000000001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  <c r="AG186" s="1">
        <f t="shared" si="16"/>
        <v>1727.9</v>
      </c>
      <c r="AH186" s="1">
        <f t="shared" si="17"/>
        <v>159.30000000000001</v>
      </c>
      <c r="AI186" s="1">
        <f t="shared" si="18"/>
        <v>397.09999999999997</v>
      </c>
      <c r="AJ186" s="1">
        <f t="shared" si="19"/>
        <v>398.5</v>
      </c>
      <c r="AK186" s="1">
        <f t="shared" si="20"/>
        <v>393.2</v>
      </c>
      <c r="AL186" s="1">
        <f t="shared" si="21"/>
        <v>117.4</v>
      </c>
      <c r="AM186" s="1">
        <f t="shared" si="22"/>
        <v>126.5</v>
      </c>
      <c r="AN186" s="1">
        <f t="shared" si="23"/>
        <v>126.5</v>
      </c>
    </row>
    <row r="187" spans="1:40" x14ac:dyDescent="0.3">
      <c r="A187" s="1" t="s">
        <v>34</v>
      </c>
      <c r="B187" s="1">
        <v>2018</v>
      </c>
      <c r="C187" s="1" t="s">
        <v>35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 s="1">
        <v>141.30000000000001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  <c r="AG187" s="1">
        <f t="shared" si="16"/>
        <v>1760.3999999999996</v>
      </c>
      <c r="AH187" s="1">
        <f t="shared" si="17"/>
        <v>154.9</v>
      </c>
      <c r="AI187" s="1">
        <f t="shared" si="18"/>
        <v>422</v>
      </c>
      <c r="AJ187" s="1">
        <f t="shared" si="19"/>
        <v>413.2</v>
      </c>
      <c r="AK187" s="1">
        <f t="shared" si="20"/>
        <v>400.5</v>
      </c>
      <c r="AL187" s="1">
        <f t="shared" si="21"/>
        <v>120.2</v>
      </c>
      <c r="AM187" s="1">
        <f t="shared" si="22"/>
        <v>129.9</v>
      </c>
      <c r="AN187" s="1">
        <f t="shared" si="23"/>
        <v>129.6</v>
      </c>
    </row>
    <row r="188" spans="1:40" x14ac:dyDescent="0.3">
      <c r="A188" s="1" t="s">
        <v>30</v>
      </c>
      <c r="B188" s="1">
        <v>2018</v>
      </c>
      <c r="C188" s="1" t="s">
        <v>36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s="1" t="s">
        <v>32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  <c r="AG188" s="1">
        <f t="shared" si="16"/>
        <v>1781.9999999999998</v>
      </c>
      <c r="AH188" s="1">
        <f t="shared" si="17"/>
        <v>155.1</v>
      </c>
      <c r="AI188" s="1">
        <f t="shared" si="18"/>
        <v>440.5</v>
      </c>
      <c r="AJ188" s="1">
        <f t="shared" si="19"/>
        <v>282.5</v>
      </c>
      <c r="AK188" s="1">
        <f t="shared" si="20"/>
        <v>408.7</v>
      </c>
      <c r="AL188" s="1">
        <f t="shared" si="21"/>
        <v>124.6</v>
      </c>
      <c r="AM188" s="1">
        <f t="shared" si="22"/>
        <v>135.1</v>
      </c>
      <c r="AN188" s="1">
        <f t="shared" si="23"/>
        <v>133.30000000000001</v>
      </c>
    </row>
    <row r="189" spans="1:40" x14ac:dyDescent="0.3">
      <c r="A189" s="1" t="s">
        <v>33</v>
      </c>
      <c r="B189" s="1">
        <v>2018</v>
      </c>
      <c r="C189" s="1" t="s">
        <v>36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 s="1">
        <v>142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  <c r="AG189" s="1">
        <f t="shared" si="16"/>
        <v>1715.5</v>
      </c>
      <c r="AH189" s="1">
        <f t="shared" si="17"/>
        <v>159.69999999999999</v>
      </c>
      <c r="AI189" s="1">
        <f t="shared" si="18"/>
        <v>398.59999999999997</v>
      </c>
      <c r="AJ189" s="1">
        <f t="shared" si="19"/>
        <v>399.2</v>
      </c>
      <c r="AK189" s="1">
        <f t="shared" si="20"/>
        <v>395</v>
      </c>
      <c r="AL189" s="1">
        <f t="shared" si="21"/>
        <v>117.8</v>
      </c>
      <c r="AM189" s="1">
        <f t="shared" si="22"/>
        <v>126.8</v>
      </c>
      <c r="AN189" s="1">
        <f t="shared" si="23"/>
        <v>127.1</v>
      </c>
    </row>
    <row r="190" spans="1:40" x14ac:dyDescent="0.3">
      <c r="A190" s="1" t="s">
        <v>34</v>
      </c>
      <c r="B190" s="1">
        <v>2018</v>
      </c>
      <c r="C190" s="1" t="s">
        <v>36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 s="1">
        <v>142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  <c r="AG190" s="1">
        <f t="shared" si="16"/>
        <v>1756</v>
      </c>
      <c r="AH190" s="1">
        <f t="shared" si="17"/>
        <v>156.30000000000001</v>
      </c>
      <c r="AI190" s="1">
        <f t="shared" si="18"/>
        <v>423.6</v>
      </c>
      <c r="AJ190" s="1">
        <f t="shared" si="19"/>
        <v>414.1</v>
      </c>
      <c r="AK190" s="1">
        <f t="shared" si="20"/>
        <v>402.3</v>
      </c>
      <c r="AL190" s="1">
        <f t="shared" si="21"/>
        <v>121</v>
      </c>
      <c r="AM190" s="1">
        <f t="shared" si="22"/>
        <v>130.4</v>
      </c>
      <c r="AN190" s="1">
        <f t="shared" si="23"/>
        <v>130.30000000000001</v>
      </c>
    </row>
    <row r="191" spans="1:40" x14ac:dyDescent="0.3">
      <c r="A191" s="1" t="s">
        <v>30</v>
      </c>
      <c r="B191" s="1">
        <v>2018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s="1" t="s">
        <v>32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  <c r="AG191" s="1">
        <f t="shared" si="16"/>
        <v>1780</v>
      </c>
      <c r="AH191" s="1">
        <f t="shared" si="17"/>
        <v>156.1</v>
      </c>
      <c r="AI191" s="1">
        <f t="shared" si="18"/>
        <v>442.5</v>
      </c>
      <c r="AJ191" s="1">
        <f t="shared" si="19"/>
        <v>284.70000000000005</v>
      </c>
      <c r="AK191" s="1">
        <f t="shared" si="20"/>
        <v>411.69999999999993</v>
      </c>
      <c r="AL191" s="1">
        <f t="shared" si="21"/>
        <v>125.3</v>
      </c>
      <c r="AM191" s="1">
        <f t="shared" si="22"/>
        <v>136</v>
      </c>
      <c r="AN191" s="1">
        <f t="shared" si="23"/>
        <v>134.19999999999999</v>
      </c>
    </row>
    <row r="192" spans="1:40" x14ac:dyDescent="0.3">
      <c r="A192" s="1" t="s">
        <v>33</v>
      </c>
      <c r="B192" s="1">
        <v>2018</v>
      </c>
      <c r="C192" s="1" t="s">
        <v>37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 s="1">
        <v>142.9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  <c r="AG192" s="1">
        <f t="shared" si="16"/>
        <v>1720.0000000000002</v>
      </c>
      <c r="AH192" s="1">
        <f t="shared" si="17"/>
        <v>159.19999999999999</v>
      </c>
      <c r="AI192" s="1">
        <f t="shared" si="18"/>
        <v>401.40000000000003</v>
      </c>
      <c r="AJ192" s="1">
        <f t="shared" si="19"/>
        <v>399.3</v>
      </c>
      <c r="AK192" s="1">
        <f t="shared" si="20"/>
        <v>398.6</v>
      </c>
      <c r="AL192" s="1">
        <f t="shared" si="21"/>
        <v>118.9</v>
      </c>
      <c r="AM192" s="1">
        <f t="shared" si="22"/>
        <v>127.6</v>
      </c>
      <c r="AN192" s="1">
        <f t="shared" si="23"/>
        <v>128.19999999999999</v>
      </c>
    </row>
    <row r="193" spans="1:40" x14ac:dyDescent="0.3">
      <c r="A193" s="1" t="s">
        <v>34</v>
      </c>
      <c r="B193" s="1">
        <v>2018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 s="1">
        <v>142.9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  <c r="AG193" s="1">
        <f t="shared" si="16"/>
        <v>1757.1000000000001</v>
      </c>
      <c r="AH193" s="1">
        <f t="shared" si="17"/>
        <v>156.9</v>
      </c>
      <c r="AI193" s="1">
        <f t="shared" si="18"/>
        <v>426</v>
      </c>
      <c r="AJ193" s="1">
        <f t="shared" si="19"/>
        <v>416</v>
      </c>
      <c r="AK193" s="1">
        <f t="shared" si="20"/>
        <v>405.8</v>
      </c>
      <c r="AL193" s="1">
        <f t="shared" si="21"/>
        <v>121.9</v>
      </c>
      <c r="AM193" s="1">
        <f t="shared" si="22"/>
        <v>131.30000000000001</v>
      </c>
      <c r="AN193" s="1">
        <f t="shared" si="23"/>
        <v>131.30000000000001</v>
      </c>
    </row>
    <row r="194" spans="1:40" x14ac:dyDescent="0.3">
      <c r="A194" s="1" t="s">
        <v>30</v>
      </c>
      <c r="B194" s="1">
        <v>2018</v>
      </c>
      <c r="C194" s="1" t="s">
        <v>38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s="1" t="s">
        <v>32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  <c r="AG194" s="1">
        <f t="shared" si="16"/>
        <v>1782.4</v>
      </c>
      <c r="AH194" s="1">
        <f t="shared" si="17"/>
        <v>157</v>
      </c>
      <c r="AI194" s="1">
        <f t="shared" si="18"/>
        <v>444.7</v>
      </c>
      <c r="AJ194" s="1">
        <f t="shared" si="19"/>
        <v>286.10000000000002</v>
      </c>
      <c r="AK194" s="1">
        <f t="shared" si="20"/>
        <v>414</v>
      </c>
      <c r="AL194" s="1">
        <f t="shared" si="21"/>
        <v>126.4</v>
      </c>
      <c r="AM194" s="1">
        <f t="shared" si="22"/>
        <v>136.80000000000001</v>
      </c>
      <c r="AN194" s="1">
        <f t="shared" si="23"/>
        <v>135.1</v>
      </c>
    </row>
    <row r="195" spans="1:40" x14ac:dyDescent="0.3">
      <c r="A195" s="1" t="s">
        <v>33</v>
      </c>
      <c r="B195" s="1">
        <v>2018</v>
      </c>
      <c r="C195" s="1" t="s">
        <v>38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 s="1">
        <v>143.19999999999999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  <c r="AG195" s="1">
        <f t="shared" ref="AG195:AG258" si="24">SUM(D195:P195)</f>
        <v>1722.8999999999999</v>
      </c>
      <c r="AH195" s="1">
        <f t="shared" ref="AH195:AH258" si="25">SUM(Q195)</f>
        <v>160.30000000000001</v>
      </c>
      <c r="AI195" s="1">
        <f t="shared" ref="AI195:AI258" si="26">SUM(R195:T195)</f>
        <v>403.5</v>
      </c>
      <c r="AJ195" s="1">
        <f t="shared" ref="AJ195:AJ258" si="27">SUM(U195:W195)</f>
        <v>400.4</v>
      </c>
      <c r="AK195" s="1">
        <f t="shared" ref="AK195:AK258" si="28">SUM(X195,AA195,AB195)</f>
        <v>400.5</v>
      </c>
      <c r="AL195" s="1">
        <f t="shared" ref="AL195:AL258" si="29">SUM(Y195)</f>
        <v>119.8</v>
      </c>
      <c r="AM195" s="1">
        <f t="shared" ref="AM195:AM258" si="30">SUM(Z195)</f>
        <v>128</v>
      </c>
      <c r="AN195" s="1">
        <f t="shared" ref="AN195:AN258" si="31">SUM(AC195)</f>
        <v>128.9</v>
      </c>
    </row>
    <row r="196" spans="1:40" x14ac:dyDescent="0.3">
      <c r="A196" s="1" t="s">
        <v>34</v>
      </c>
      <c r="B196" s="1">
        <v>2018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 s="1">
        <v>143.19999999999999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  <c r="AG196" s="1">
        <f t="shared" si="24"/>
        <v>1759.8</v>
      </c>
      <c r="AH196" s="1">
        <f t="shared" si="25"/>
        <v>157.9</v>
      </c>
      <c r="AI196" s="1">
        <f t="shared" si="26"/>
        <v>428.09999999999997</v>
      </c>
      <c r="AJ196" s="1">
        <f t="shared" si="27"/>
        <v>417.5</v>
      </c>
      <c r="AK196" s="1">
        <f t="shared" si="28"/>
        <v>408</v>
      </c>
      <c r="AL196" s="1">
        <f t="shared" si="29"/>
        <v>122.9</v>
      </c>
      <c r="AM196" s="1">
        <f t="shared" si="30"/>
        <v>131.80000000000001</v>
      </c>
      <c r="AN196" s="1">
        <f t="shared" si="31"/>
        <v>132.1</v>
      </c>
    </row>
    <row r="197" spans="1:40" x14ac:dyDescent="0.3">
      <c r="A197" s="1" t="s">
        <v>30</v>
      </c>
      <c r="B197" s="1">
        <v>2018</v>
      </c>
      <c r="C197" s="1" t="s">
        <v>39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s="1" t="s">
        <v>32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  <c r="AG197" s="1">
        <f t="shared" si="24"/>
        <v>1790.2999999999997</v>
      </c>
      <c r="AH197" s="1">
        <f t="shared" si="25"/>
        <v>157.30000000000001</v>
      </c>
      <c r="AI197" s="1">
        <f t="shared" si="26"/>
        <v>446.3</v>
      </c>
      <c r="AJ197" s="1">
        <f t="shared" si="27"/>
        <v>287.29999999999995</v>
      </c>
      <c r="AK197" s="1">
        <f t="shared" si="28"/>
        <v>414.9</v>
      </c>
      <c r="AL197" s="1">
        <f t="shared" si="29"/>
        <v>127.4</v>
      </c>
      <c r="AM197" s="1">
        <f t="shared" si="30"/>
        <v>137.80000000000001</v>
      </c>
      <c r="AN197" s="1">
        <f t="shared" si="31"/>
        <v>135.6</v>
      </c>
    </row>
    <row r="198" spans="1:40" x14ac:dyDescent="0.3">
      <c r="A198" s="1" t="s">
        <v>33</v>
      </c>
      <c r="B198" s="1">
        <v>2018</v>
      </c>
      <c r="C198" s="1" t="s">
        <v>39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  <c r="AG198" s="1">
        <f t="shared" si="24"/>
        <v>1747.3000000000002</v>
      </c>
      <c r="AH198" s="1">
        <f t="shared" si="25"/>
        <v>161</v>
      </c>
      <c r="AI198" s="1">
        <f t="shared" si="26"/>
        <v>405</v>
      </c>
      <c r="AJ198" s="1">
        <f t="shared" si="27"/>
        <v>402.1</v>
      </c>
      <c r="AK198" s="1">
        <f t="shared" si="28"/>
        <v>401.99999999999994</v>
      </c>
      <c r="AL198" s="1">
        <f t="shared" si="29"/>
        <v>120.4</v>
      </c>
      <c r="AM198" s="1">
        <f t="shared" si="30"/>
        <v>128.5</v>
      </c>
      <c r="AN198" s="1">
        <f t="shared" si="31"/>
        <v>129.5</v>
      </c>
    </row>
    <row r="199" spans="1:40" x14ac:dyDescent="0.3">
      <c r="A199" s="1" t="s">
        <v>34</v>
      </c>
      <c r="B199" s="1">
        <v>2018</v>
      </c>
      <c r="C199" s="1" t="s">
        <v>39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 s="1">
        <v>142.5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  <c r="AG199" s="1">
        <f t="shared" si="24"/>
        <v>1774.1000000000001</v>
      </c>
      <c r="AH199" s="1">
        <f t="shared" si="25"/>
        <v>158.30000000000001</v>
      </c>
      <c r="AI199" s="1">
        <f t="shared" si="26"/>
        <v>429.7</v>
      </c>
      <c r="AJ199" s="1">
        <f t="shared" si="27"/>
        <v>418.5</v>
      </c>
      <c r="AK199" s="1">
        <f t="shared" si="28"/>
        <v>409.1</v>
      </c>
      <c r="AL199" s="1">
        <f t="shared" si="29"/>
        <v>123.7</v>
      </c>
      <c r="AM199" s="1">
        <f t="shared" si="30"/>
        <v>132.6</v>
      </c>
      <c r="AN199" s="1">
        <f t="shared" si="31"/>
        <v>132.6</v>
      </c>
    </row>
    <row r="200" spans="1:40" x14ac:dyDescent="0.3">
      <c r="A200" s="1" t="s">
        <v>30</v>
      </c>
      <c r="B200" s="1">
        <v>2018</v>
      </c>
      <c r="C200" s="1" t="s">
        <v>40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  <c r="AG200" s="1">
        <f t="shared" si="24"/>
        <v>1810.5000000000002</v>
      </c>
      <c r="AH200" s="1">
        <f t="shared" si="25"/>
        <v>156.1</v>
      </c>
      <c r="AI200" s="1">
        <f t="shared" si="26"/>
        <v>447.20000000000005</v>
      </c>
      <c r="AJ200" s="1">
        <f t="shared" si="27"/>
        <v>289.89999999999998</v>
      </c>
      <c r="AK200" s="1">
        <f t="shared" si="28"/>
        <v>416.20000000000005</v>
      </c>
      <c r="AL200" s="1">
        <f t="shared" si="29"/>
        <v>127.5</v>
      </c>
      <c r="AM200" s="1">
        <f t="shared" si="30"/>
        <v>138.4</v>
      </c>
      <c r="AN200" s="1">
        <f t="shared" si="31"/>
        <v>136</v>
      </c>
    </row>
    <row r="201" spans="1:40" x14ac:dyDescent="0.3">
      <c r="A201" s="1" t="s">
        <v>33</v>
      </c>
      <c r="B201" s="1">
        <v>2018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  <c r="AG201" s="1">
        <f t="shared" si="24"/>
        <v>1771.1</v>
      </c>
      <c r="AH201" s="1">
        <f t="shared" si="25"/>
        <v>161.4</v>
      </c>
      <c r="AI201" s="1">
        <f t="shared" si="26"/>
        <v>406.4</v>
      </c>
      <c r="AJ201" s="1">
        <f t="shared" si="27"/>
        <v>405.29999999999995</v>
      </c>
      <c r="AK201" s="1">
        <f t="shared" si="28"/>
        <v>405.8</v>
      </c>
      <c r="AL201" s="1">
        <f t="shared" si="29"/>
        <v>120.1</v>
      </c>
      <c r="AM201" s="1">
        <f t="shared" si="30"/>
        <v>129</v>
      </c>
      <c r="AN201" s="1">
        <f t="shared" si="31"/>
        <v>130.19999999999999</v>
      </c>
    </row>
    <row r="202" spans="1:40" x14ac:dyDescent="0.3">
      <c r="A202" s="1" t="s">
        <v>34</v>
      </c>
      <c r="B202" s="1">
        <v>2018</v>
      </c>
      <c r="C202" s="1" t="s">
        <v>40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 s="1">
        <v>143.6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  <c r="AG202" s="1">
        <f t="shared" si="24"/>
        <v>1795.3</v>
      </c>
      <c r="AH202" s="1">
        <f t="shared" si="25"/>
        <v>157.5</v>
      </c>
      <c r="AI202" s="1">
        <f t="shared" si="26"/>
        <v>430.80000000000007</v>
      </c>
      <c r="AJ202" s="1">
        <f t="shared" si="27"/>
        <v>421.9</v>
      </c>
      <c r="AK202" s="1">
        <f t="shared" si="28"/>
        <v>411.79999999999995</v>
      </c>
      <c r="AL202" s="1">
        <f t="shared" si="29"/>
        <v>123.6</v>
      </c>
      <c r="AM202" s="1">
        <f t="shared" si="30"/>
        <v>133.1</v>
      </c>
      <c r="AN202" s="1">
        <f t="shared" si="31"/>
        <v>133.19999999999999</v>
      </c>
    </row>
    <row r="203" spans="1:40" x14ac:dyDescent="0.3">
      <c r="A203" s="1" t="s">
        <v>30</v>
      </c>
      <c r="B203" s="1">
        <v>2018</v>
      </c>
      <c r="C203" s="1" t="s">
        <v>41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s="1" t="s">
        <v>32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  <c r="AG203" s="1">
        <f t="shared" si="24"/>
        <v>1818.8</v>
      </c>
      <c r="AH203" s="1">
        <f t="shared" si="25"/>
        <v>156.4</v>
      </c>
      <c r="AI203" s="1">
        <f t="shared" si="26"/>
        <v>449.2</v>
      </c>
      <c r="AJ203" s="1">
        <f t="shared" si="27"/>
        <v>291.5</v>
      </c>
      <c r="AK203" s="1">
        <f t="shared" si="28"/>
        <v>417.6</v>
      </c>
      <c r="AL203" s="1">
        <f t="shared" si="29"/>
        <v>128.30000000000001</v>
      </c>
      <c r="AM203" s="1">
        <f t="shared" si="30"/>
        <v>138.6</v>
      </c>
      <c r="AN203" s="1">
        <f t="shared" si="31"/>
        <v>136.6</v>
      </c>
    </row>
    <row r="204" spans="1:40" x14ac:dyDescent="0.3">
      <c r="A204" s="1" t="s">
        <v>33</v>
      </c>
      <c r="B204" s="1">
        <v>2018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 s="1">
        <v>144.6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  <c r="AG204" s="1">
        <f t="shared" si="24"/>
        <v>1767.6</v>
      </c>
      <c r="AH204" s="1">
        <f t="shared" si="25"/>
        <v>162.1</v>
      </c>
      <c r="AI204" s="1">
        <f t="shared" si="26"/>
        <v>407.3</v>
      </c>
      <c r="AJ204" s="1">
        <f t="shared" si="27"/>
        <v>408.79999999999995</v>
      </c>
      <c r="AK204" s="1">
        <f t="shared" si="28"/>
        <v>408.50000000000006</v>
      </c>
      <c r="AL204" s="1">
        <f t="shared" si="29"/>
        <v>120.7</v>
      </c>
      <c r="AM204" s="1">
        <f t="shared" si="30"/>
        <v>129.80000000000001</v>
      </c>
      <c r="AN204" s="1">
        <f t="shared" si="31"/>
        <v>131</v>
      </c>
    </row>
    <row r="205" spans="1:40" x14ac:dyDescent="0.3">
      <c r="A205" s="1" t="s">
        <v>34</v>
      </c>
      <c r="B205" s="1">
        <v>2018</v>
      </c>
      <c r="C205" s="1" t="s">
        <v>41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  <c r="AG205" s="1">
        <f t="shared" si="24"/>
        <v>1798.7000000000003</v>
      </c>
      <c r="AH205" s="1">
        <f t="shared" si="25"/>
        <v>157.9</v>
      </c>
      <c r="AI205" s="1">
        <f t="shared" si="26"/>
        <v>432.20000000000005</v>
      </c>
      <c r="AJ205" s="1">
        <f t="shared" si="27"/>
        <v>424.9</v>
      </c>
      <c r="AK205" s="1">
        <f t="shared" si="28"/>
        <v>413.79999999999995</v>
      </c>
      <c r="AL205" s="1">
        <f t="shared" si="29"/>
        <v>124.3</v>
      </c>
      <c r="AM205" s="1">
        <f t="shared" si="30"/>
        <v>133.6</v>
      </c>
      <c r="AN205" s="1">
        <f t="shared" si="31"/>
        <v>133.9</v>
      </c>
    </row>
    <row r="206" spans="1:40" x14ac:dyDescent="0.3">
      <c r="A206" s="1" t="s">
        <v>30</v>
      </c>
      <c r="B206" s="1">
        <v>2018</v>
      </c>
      <c r="C206" s="1" t="s">
        <v>42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s="1" t="s">
        <v>32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  <c r="AG206" s="1">
        <f t="shared" si="24"/>
        <v>1799.8000000000002</v>
      </c>
      <c r="AH206" s="1">
        <f t="shared" si="25"/>
        <v>157.69999999999999</v>
      </c>
      <c r="AI206" s="1">
        <f t="shared" si="26"/>
        <v>449.5</v>
      </c>
      <c r="AJ206" s="1">
        <f t="shared" si="27"/>
        <v>293</v>
      </c>
      <c r="AK206" s="1">
        <f t="shared" si="28"/>
        <v>419.6</v>
      </c>
      <c r="AL206" s="1">
        <f t="shared" si="29"/>
        <v>129.9</v>
      </c>
      <c r="AM206" s="1">
        <f t="shared" si="30"/>
        <v>140</v>
      </c>
      <c r="AN206" s="1">
        <f t="shared" si="31"/>
        <v>137.4</v>
      </c>
    </row>
    <row r="207" spans="1:40" x14ac:dyDescent="0.3">
      <c r="A207" s="1" t="s">
        <v>33</v>
      </c>
      <c r="B207" s="1">
        <v>2018</v>
      </c>
      <c r="C207" s="1" t="s">
        <v>42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 s="1">
        <v>145.30000000000001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  <c r="AG207" s="1">
        <f t="shared" si="24"/>
        <v>1748.4</v>
      </c>
      <c r="AH207" s="1">
        <f t="shared" si="25"/>
        <v>163.30000000000001</v>
      </c>
      <c r="AI207" s="1">
        <f t="shared" si="26"/>
        <v>409.20000000000005</v>
      </c>
      <c r="AJ207" s="1">
        <f t="shared" si="27"/>
        <v>411.4</v>
      </c>
      <c r="AK207" s="1">
        <f t="shared" si="28"/>
        <v>410.2</v>
      </c>
      <c r="AL207" s="1">
        <f t="shared" si="29"/>
        <v>122.5</v>
      </c>
      <c r="AM207" s="1">
        <f t="shared" si="30"/>
        <v>130.19999999999999</v>
      </c>
      <c r="AN207" s="1">
        <f t="shared" si="31"/>
        <v>131.9</v>
      </c>
    </row>
    <row r="208" spans="1:40" x14ac:dyDescent="0.3">
      <c r="A208" s="1" t="s">
        <v>34</v>
      </c>
      <c r="B208" s="1">
        <v>2018</v>
      </c>
      <c r="C208" s="1" t="s">
        <v>42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 s="1">
        <v>145.30000000000001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  <c r="AG208" s="1">
        <f t="shared" si="24"/>
        <v>1779.5</v>
      </c>
      <c r="AH208" s="1">
        <f t="shared" si="25"/>
        <v>159.19999999999999</v>
      </c>
      <c r="AI208" s="1">
        <f t="shared" si="26"/>
        <v>433.29999999999995</v>
      </c>
      <c r="AJ208" s="1">
        <f t="shared" si="27"/>
        <v>427.3</v>
      </c>
      <c r="AK208" s="1">
        <f t="shared" si="28"/>
        <v>415.5</v>
      </c>
      <c r="AL208" s="1">
        <f t="shared" si="29"/>
        <v>126</v>
      </c>
      <c r="AM208" s="1">
        <f t="shared" si="30"/>
        <v>134.5</v>
      </c>
      <c r="AN208" s="1">
        <f t="shared" si="31"/>
        <v>134.69999999999999</v>
      </c>
    </row>
    <row r="209" spans="1:40" x14ac:dyDescent="0.3">
      <c r="A209" s="1" t="s">
        <v>30</v>
      </c>
      <c r="B209" s="1">
        <v>2018</v>
      </c>
      <c r="C209" s="1" t="s">
        <v>43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s="1" t="s">
        <v>32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  <c r="AG209" s="1">
        <f t="shared" si="24"/>
        <v>1782.2</v>
      </c>
      <c r="AH209" s="1">
        <f t="shared" si="25"/>
        <v>159.6</v>
      </c>
      <c r="AI209" s="1">
        <f t="shared" si="26"/>
        <v>445</v>
      </c>
      <c r="AJ209" s="1">
        <f t="shared" si="27"/>
        <v>297.2</v>
      </c>
      <c r="AK209" s="1">
        <f t="shared" si="28"/>
        <v>427.20000000000005</v>
      </c>
      <c r="AL209" s="1">
        <f t="shared" si="29"/>
        <v>130.80000000000001</v>
      </c>
      <c r="AM209" s="1">
        <f t="shared" si="30"/>
        <v>140.1</v>
      </c>
      <c r="AN209" s="1">
        <f t="shared" si="31"/>
        <v>139.80000000000001</v>
      </c>
    </row>
    <row r="210" spans="1:40" x14ac:dyDescent="0.3">
      <c r="A210" s="1" t="s">
        <v>33</v>
      </c>
      <c r="B210" s="1">
        <v>2018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 s="1">
        <v>146.30000000000001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  <c r="AG210" s="1">
        <f t="shared" si="24"/>
        <v>1754.1</v>
      </c>
      <c r="AH210" s="1">
        <f t="shared" si="25"/>
        <v>164</v>
      </c>
      <c r="AI210" s="1">
        <f t="shared" si="26"/>
        <v>411</v>
      </c>
      <c r="AJ210" s="1">
        <f t="shared" si="27"/>
        <v>414.80000000000007</v>
      </c>
      <c r="AK210" s="1">
        <f t="shared" si="28"/>
        <v>412.1</v>
      </c>
      <c r="AL210" s="1">
        <f t="shared" si="29"/>
        <v>123.3</v>
      </c>
      <c r="AM210" s="1">
        <f t="shared" si="30"/>
        <v>130.69999999999999</v>
      </c>
      <c r="AN210" s="1">
        <f t="shared" si="31"/>
        <v>132.5</v>
      </c>
    </row>
    <row r="211" spans="1:40" x14ac:dyDescent="0.3">
      <c r="A211" s="1" t="s">
        <v>34</v>
      </c>
      <c r="B211" s="1">
        <v>2018</v>
      </c>
      <c r="C211" s="1" t="s">
        <v>43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 s="1">
        <v>146.9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  <c r="AG211" s="1">
        <f t="shared" si="24"/>
        <v>1776.2</v>
      </c>
      <c r="AH211" s="1">
        <f t="shared" si="25"/>
        <v>162.6</v>
      </c>
      <c r="AI211" s="1">
        <f t="shared" si="26"/>
        <v>434</v>
      </c>
      <c r="AJ211" s="1">
        <f t="shared" si="27"/>
        <v>434.40000000000003</v>
      </c>
      <c r="AK211" s="1">
        <f t="shared" si="28"/>
        <v>421.9</v>
      </c>
      <c r="AL211" s="1">
        <f t="shared" si="29"/>
        <v>125.5</v>
      </c>
      <c r="AM211" s="1">
        <f t="shared" si="30"/>
        <v>136.5</v>
      </c>
      <c r="AN211" s="1">
        <f t="shared" si="31"/>
        <v>136.30000000000001</v>
      </c>
    </row>
    <row r="212" spans="1:40" x14ac:dyDescent="0.3">
      <c r="A212" s="1" t="s">
        <v>30</v>
      </c>
      <c r="B212" s="1">
        <v>2018</v>
      </c>
      <c r="C212" s="1" t="s">
        <v>45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s="1" t="s">
        <v>32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  <c r="AG212" s="1">
        <f t="shared" si="24"/>
        <v>1787.4999999999995</v>
      </c>
      <c r="AH212" s="1">
        <f t="shared" si="25"/>
        <v>161.9</v>
      </c>
      <c r="AI212" s="1">
        <f t="shared" si="26"/>
        <v>448</v>
      </c>
      <c r="AJ212" s="1">
        <f t="shared" si="27"/>
        <v>298.3</v>
      </c>
      <c r="AK212" s="1">
        <f t="shared" si="28"/>
        <v>428.70000000000005</v>
      </c>
      <c r="AL212" s="1">
        <f t="shared" si="29"/>
        <v>130.30000000000001</v>
      </c>
      <c r="AM212" s="1">
        <f t="shared" si="30"/>
        <v>143.1</v>
      </c>
      <c r="AN212" s="1">
        <f t="shared" si="31"/>
        <v>140.1</v>
      </c>
    </row>
    <row r="213" spans="1:40" x14ac:dyDescent="0.3">
      <c r="A213" s="1" t="s">
        <v>33</v>
      </c>
      <c r="B213" s="1">
        <v>2018</v>
      </c>
      <c r="C213" s="1" t="s">
        <v>45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 s="1">
        <v>146.9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  <c r="AG213" s="1">
        <f t="shared" si="24"/>
        <v>1757.4999999999998</v>
      </c>
      <c r="AH213" s="1">
        <f t="shared" si="25"/>
        <v>164.4</v>
      </c>
      <c r="AI213" s="1">
        <f t="shared" si="26"/>
        <v>413.1</v>
      </c>
      <c r="AJ213" s="1">
        <f t="shared" si="27"/>
        <v>419.40000000000003</v>
      </c>
      <c r="AK213" s="1">
        <f t="shared" si="28"/>
        <v>413.4</v>
      </c>
      <c r="AL213" s="1">
        <f t="shared" si="29"/>
        <v>121.2</v>
      </c>
      <c r="AM213" s="1">
        <f t="shared" si="30"/>
        <v>131.30000000000001</v>
      </c>
      <c r="AN213" s="1">
        <f t="shared" si="31"/>
        <v>132.19999999999999</v>
      </c>
    </row>
    <row r="214" spans="1:40" x14ac:dyDescent="0.3">
      <c r="A214" s="1" t="s">
        <v>34</v>
      </c>
      <c r="B214" s="1">
        <v>2018</v>
      </c>
      <c r="C214" s="1" t="s">
        <v>45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 s="1">
        <v>146.9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  <c r="AG214" s="1">
        <f t="shared" si="24"/>
        <v>1775.7000000000003</v>
      </c>
      <c r="AH214" s="1">
        <f t="shared" si="25"/>
        <v>162.6</v>
      </c>
      <c r="AI214" s="1">
        <f t="shared" si="26"/>
        <v>433.8</v>
      </c>
      <c r="AJ214" s="1">
        <f t="shared" si="27"/>
        <v>434.2</v>
      </c>
      <c r="AK214" s="1">
        <f t="shared" si="28"/>
        <v>421.9</v>
      </c>
      <c r="AL214" s="1">
        <f t="shared" si="29"/>
        <v>125.5</v>
      </c>
      <c r="AM214" s="1">
        <f t="shared" si="30"/>
        <v>136.5</v>
      </c>
      <c r="AN214" s="1">
        <f t="shared" si="31"/>
        <v>136.30000000000001</v>
      </c>
    </row>
    <row r="215" spans="1:40" x14ac:dyDescent="0.3">
      <c r="A215" s="1" t="s">
        <v>30</v>
      </c>
      <c r="B215" s="1">
        <v>2018</v>
      </c>
      <c r="C215" s="1" t="s">
        <v>46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s="1" t="s">
        <v>32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  <c r="AG215" s="1">
        <f t="shared" si="24"/>
        <v>1773.1000000000001</v>
      </c>
      <c r="AH215" s="1">
        <f t="shared" si="25"/>
        <v>162.4</v>
      </c>
      <c r="AI215" s="1">
        <f t="shared" si="26"/>
        <v>448.3</v>
      </c>
      <c r="AJ215" s="1">
        <f t="shared" si="27"/>
        <v>298.5</v>
      </c>
      <c r="AK215" s="1">
        <f t="shared" si="28"/>
        <v>437.9</v>
      </c>
      <c r="AL215" s="1">
        <f t="shared" si="29"/>
        <v>128.9</v>
      </c>
      <c r="AM215" s="1">
        <f t="shared" si="30"/>
        <v>143.30000000000001</v>
      </c>
      <c r="AN215" s="1">
        <f t="shared" si="31"/>
        <v>141.6</v>
      </c>
    </row>
    <row r="216" spans="1:40" x14ac:dyDescent="0.3">
      <c r="A216" s="1" t="s">
        <v>33</v>
      </c>
      <c r="B216" s="1">
        <v>2018</v>
      </c>
      <c r="C216" s="1" t="s">
        <v>46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 s="1">
        <v>146.5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  <c r="AG216" s="1">
        <f t="shared" si="24"/>
        <v>1746.6</v>
      </c>
      <c r="AH216" s="1">
        <f t="shared" si="25"/>
        <v>164.6</v>
      </c>
      <c r="AI216" s="1">
        <f t="shared" si="26"/>
        <v>413.8</v>
      </c>
      <c r="AJ216" s="1">
        <f t="shared" si="27"/>
        <v>415.09999999999997</v>
      </c>
      <c r="AK216" s="1">
        <f t="shared" si="28"/>
        <v>414.6</v>
      </c>
      <c r="AL216" s="1">
        <f t="shared" si="29"/>
        <v>118.8</v>
      </c>
      <c r="AM216" s="1">
        <f t="shared" si="30"/>
        <v>131.69999999999999</v>
      </c>
      <c r="AN216" s="1">
        <f t="shared" si="31"/>
        <v>131.69999999999999</v>
      </c>
    </row>
    <row r="217" spans="1:40" x14ac:dyDescent="0.3">
      <c r="A217" s="1" t="s">
        <v>34</v>
      </c>
      <c r="B217" s="1">
        <v>2018</v>
      </c>
      <c r="C217" s="1" t="s">
        <v>46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 s="1">
        <v>146.5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  <c r="AG217" s="1">
        <f t="shared" si="24"/>
        <v>1762.7999999999997</v>
      </c>
      <c r="AH217" s="1">
        <f t="shared" si="25"/>
        <v>163</v>
      </c>
      <c r="AI217" s="1">
        <f t="shared" si="26"/>
        <v>434.3</v>
      </c>
      <c r="AJ217" s="1">
        <f t="shared" si="27"/>
        <v>432.4</v>
      </c>
      <c r="AK217" s="1">
        <f t="shared" si="28"/>
        <v>427.2</v>
      </c>
      <c r="AL217" s="1">
        <f t="shared" si="29"/>
        <v>123.6</v>
      </c>
      <c r="AM217" s="1">
        <f t="shared" si="30"/>
        <v>136.80000000000001</v>
      </c>
      <c r="AN217" s="1">
        <f t="shared" si="31"/>
        <v>136.80000000000001</v>
      </c>
    </row>
    <row r="218" spans="1:40" x14ac:dyDescent="0.3">
      <c r="A218" s="1" t="s">
        <v>30</v>
      </c>
      <c r="B218" s="1">
        <v>2019</v>
      </c>
      <c r="C218" s="1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  <c r="AG218" s="1">
        <f t="shared" si="24"/>
        <v>1759.6000000000001</v>
      </c>
      <c r="AH218" s="1">
        <f t="shared" si="25"/>
        <v>162.69999999999999</v>
      </c>
      <c r="AI218" s="1">
        <f t="shared" si="26"/>
        <v>445.6</v>
      </c>
      <c r="AJ218" s="1">
        <f t="shared" si="27"/>
        <v>296.29999999999995</v>
      </c>
      <c r="AK218" s="1">
        <f t="shared" si="28"/>
        <v>438.29999999999995</v>
      </c>
      <c r="AL218" s="1">
        <f t="shared" si="29"/>
        <v>128.6</v>
      </c>
      <c r="AM218" s="1">
        <f t="shared" si="30"/>
        <v>142.9</v>
      </c>
      <c r="AN218" s="1">
        <f t="shared" si="31"/>
        <v>141.69999999999999</v>
      </c>
    </row>
    <row r="219" spans="1:40" x14ac:dyDescent="0.3">
      <c r="A219" s="1" t="s">
        <v>33</v>
      </c>
      <c r="B219" s="1">
        <v>2019</v>
      </c>
      <c r="C219" s="1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 s="1">
        <v>147.69999999999999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  <c r="AG219" s="1">
        <f t="shared" si="24"/>
        <v>1744.3000000000002</v>
      </c>
      <c r="AH219" s="1">
        <f t="shared" si="25"/>
        <v>164.7</v>
      </c>
      <c r="AI219" s="1">
        <f t="shared" si="26"/>
        <v>414.5</v>
      </c>
      <c r="AJ219" s="1">
        <f t="shared" si="27"/>
        <v>412.59999999999997</v>
      </c>
      <c r="AK219" s="1">
        <f t="shared" si="28"/>
        <v>416.09999999999997</v>
      </c>
      <c r="AL219" s="1">
        <f t="shared" si="29"/>
        <v>118.6</v>
      </c>
      <c r="AM219" s="1">
        <f t="shared" si="30"/>
        <v>131.9</v>
      </c>
      <c r="AN219" s="1">
        <f t="shared" si="31"/>
        <v>131.80000000000001</v>
      </c>
    </row>
    <row r="220" spans="1:40" x14ac:dyDescent="0.3">
      <c r="A220" s="1" t="s">
        <v>34</v>
      </c>
      <c r="B220" s="1">
        <v>2019</v>
      </c>
      <c r="C220" s="1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 s="1">
        <v>147.69999999999999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  <c r="AG220" s="1">
        <f t="shared" si="24"/>
        <v>1753.3999999999999</v>
      </c>
      <c r="AH220" s="1">
        <f t="shared" si="25"/>
        <v>163.19999999999999</v>
      </c>
      <c r="AI220" s="1">
        <f t="shared" si="26"/>
        <v>433</v>
      </c>
      <c r="AJ220" s="1">
        <f t="shared" si="27"/>
        <v>430.79999999999995</v>
      </c>
      <c r="AK220" s="1">
        <f t="shared" si="28"/>
        <v>428.09999999999997</v>
      </c>
      <c r="AL220" s="1">
        <f t="shared" si="29"/>
        <v>123.3</v>
      </c>
      <c r="AM220" s="1">
        <f t="shared" si="30"/>
        <v>136.69999999999999</v>
      </c>
      <c r="AN220" s="1">
        <f t="shared" si="31"/>
        <v>136.9</v>
      </c>
    </row>
    <row r="221" spans="1:40" x14ac:dyDescent="0.3">
      <c r="A221" s="1" t="s">
        <v>30</v>
      </c>
      <c r="B221" s="1">
        <v>2019</v>
      </c>
      <c r="C221" s="1" t="s">
        <v>35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  <c r="AG221" s="1">
        <f t="shared" si="24"/>
        <v>1759.8000000000002</v>
      </c>
      <c r="AH221" s="1">
        <f t="shared" si="25"/>
        <v>162.80000000000001</v>
      </c>
      <c r="AI221" s="1">
        <f t="shared" si="26"/>
        <v>446.5</v>
      </c>
      <c r="AJ221" s="1">
        <f t="shared" si="27"/>
        <v>295.39999999999998</v>
      </c>
      <c r="AK221" s="1">
        <f t="shared" si="28"/>
        <v>440.29999999999995</v>
      </c>
      <c r="AL221" s="1">
        <f t="shared" si="29"/>
        <v>129.19999999999999</v>
      </c>
      <c r="AM221" s="1">
        <f t="shared" si="30"/>
        <v>143.4</v>
      </c>
      <c r="AN221" s="1">
        <f t="shared" si="31"/>
        <v>142.19999999999999</v>
      </c>
    </row>
    <row r="222" spans="1:40" x14ac:dyDescent="0.3">
      <c r="A222" s="1" t="s">
        <v>33</v>
      </c>
      <c r="B222" s="1">
        <v>2019</v>
      </c>
      <c r="C222" s="1" t="s">
        <v>35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  <c r="AG222" s="1">
        <f t="shared" si="24"/>
        <v>1754.4</v>
      </c>
      <c r="AH222" s="1">
        <f t="shared" si="25"/>
        <v>164.9</v>
      </c>
      <c r="AI222" s="1">
        <f t="shared" si="26"/>
        <v>415.5</v>
      </c>
      <c r="AJ222" s="1">
        <f t="shared" si="27"/>
        <v>412.20000000000005</v>
      </c>
      <c r="AK222" s="1">
        <f t="shared" si="28"/>
        <v>418.1</v>
      </c>
      <c r="AL222" s="1">
        <f t="shared" si="29"/>
        <v>119.2</v>
      </c>
      <c r="AM222" s="1">
        <f t="shared" si="30"/>
        <v>132.19999999999999</v>
      </c>
      <c r="AN222" s="1">
        <f t="shared" si="31"/>
        <v>132.4</v>
      </c>
    </row>
    <row r="223" spans="1:40" x14ac:dyDescent="0.3">
      <c r="A223" s="1" t="s">
        <v>34</v>
      </c>
      <c r="B223" s="1">
        <v>2019</v>
      </c>
      <c r="C223" s="1" t="s">
        <v>35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 s="1">
        <v>148.5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  <c r="AG223" s="1">
        <f t="shared" si="24"/>
        <v>1757.1</v>
      </c>
      <c r="AH223" s="1">
        <f t="shared" si="25"/>
        <v>163.4</v>
      </c>
      <c r="AI223" s="1">
        <f t="shared" si="26"/>
        <v>433.9</v>
      </c>
      <c r="AJ223" s="1">
        <f t="shared" si="27"/>
        <v>430.59999999999997</v>
      </c>
      <c r="AK223" s="1">
        <f t="shared" si="28"/>
        <v>430</v>
      </c>
      <c r="AL223" s="1">
        <f t="shared" si="29"/>
        <v>123.9</v>
      </c>
      <c r="AM223" s="1">
        <f t="shared" si="30"/>
        <v>137.1</v>
      </c>
      <c r="AN223" s="1">
        <f t="shared" si="31"/>
        <v>137.4</v>
      </c>
    </row>
    <row r="224" spans="1:40" x14ac:dyDescent="0.3">
      <c r="A224" s="1" t="s">
        <v>30</v>
      </c>
      <c r="B224" s="1">
        <v>2019</v>
      </c>
      <c r="C224" s="1" t="s">
        <v>36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  <c r="AG224" s="1">
        <f t="shared" si="24"/>
        <v>1761.2000000000003</v>
      </c>
      <c r="AH224" s="1">
        <f t="shared" si="25"/>
        <v>162.9</v>
      </c>
      <c r="AI224" s="1">
        <f t="shared" si="26"/>
        <v>447</v>
      </c>
      <c r="AJ224" s="1">
        <f t="shared" si="27"/>
        <v>296.39999999999998</v>
      </c>
      <c r="AK224" s="1">
        <f t="shared" si="28"/>
        <v>439.9</v>
      </c>
      <c r="AL224" s="1">
        <f t="shared" si="29"/>
        <v>129.9</v>
      </c>
      <c r="AM224" s="1">
        <f t="shared" si="30"/>
        <v>143.80000000000001</v>
      </c>
      <c r="AN224" s="1">
        <f t="shared" si="31"/>
        <v>142.4</v>
      </c>
    </row>
    <row r="225" spans="1:40" x14ac:dyDescent="0.3">
      <c r="A225" s="1" t="s">
        <v>33</v>
      </c>
      <c r="B225" s="1">
        <v>2019</v>
      </c>
      <c r="C225" s="1" t="s">
        <v>36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 s="1">
        <v>149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  <c r="AG225" s="1">
        <f t="shared" si="24"/>
        <v>1768.4</v>
      </c>
      <c r="AH225" s="1">
        <f t="shared" si="25"/>
        <v>165.3</v>
      </c>
      <c r="AI225" s="1">
        <f t="shared" si="26"/>
        <v>416.29999999999995</v>
      </c>
      <c r="AJ225" s="1">
        <f t="shared" si="27"/>
        <v>414.6</v>
      </c>
      <c r="AK225" s="1">
        <f t="shared" si="28"/>
        <v>418.4</v>
      </c>
      <c r="AL225" s="1">
        <f t="shared" si="29"/>
        <v>119.9</v>
      </c>
      <c r="AM225" s="1">
        <f t="shared" si="30"/>
        <v>133</v>
      </c>
      <c r="AN225" s="1">
        <f t="shared" si="31"/>
        <v>132.80000000000001</v>
      </c>
    </row>
    <row r="226" spans="1:40" x14ac:dyDescent="0.3">
      <c r="A226" s="1" t="s">
        <v>34</v>
      </c>
      <c r="B226" s="1">
        <v>2019</v>
      </c>
      <c r="C226" s="1" t="s">
        <v>36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 s="1">
        <v>149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  <c r="AG226" s="1">
        <f t="shared" si="24"/>
        <v>1762.9</v>
      </c>
      <c r="AH226" s="1">
        <f t="shared" si="25"/>
        <v>163.5</v>
      </c>
      <c r="AI226" s="1">
        <f t="shared" si="26"/>
        <v>434.5</v>
      </c>
      <c r="AJ226" s="1">
        <f t="shared" si="27"/>
        <v>432.5</v>
      </c>
      <c r="AK226" s="1">
        <f t="shared" si="28"/>
        <v>429.9</v>
      </c>
      <c r="AL226" s="1">
        <f t="shared" si="29"/>
        <v>124.6</v>
      </c>
      <c r="AM226" s="1">
        <f t="shared" si="30"/>
        <v>137.69999999999999</v>
      </c>
      <c r="AN226" s="1">
        <f t="shared" si="31"/>
        <v>137.69999999999999</v>
      </c>
    </row>
    <row r="227" spans="1:40" x14ac:dyDescent="0.3">
      <c r="A227" s="1" t="s">
        <v>30</v>
      </c>
      <c r="B227" s="1">
        <v>2019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s="1" t="s">
        <v>32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  <c r="AG227" s="1">
        <f t="shared" si="24"/>
        <v>1782.1000000000001</v>
      </c>
      <c r="AH227" s="1">
        <f t="shared" si="25"/>
        <v>163.30000000000001</v>
      </c>
      <c r="AI227" s="1">
        <f t="shared" si="26"/>
        <v>448.59999999999997</v>
      </c>
      <c r="AJ227" s="1">
        <f t="shared" si="27"/>
        <v>296.39999999999998</v>
      </c>
      <c r="AK227" s="1">
        <f t="shared" si="28"/>
        <v>441.9</v>
      </c>
      <c r="AL227" s="1">
        <f t="shared" si="29"/>
        <v>130.19999999999999</v>
      </c>
      <c r="AM227" s="1">
        <f t="shared" si="30"/>
        <v>145.9</v>
      </c>
      <c r="AN227" s="1">
        <f t="shared" si="31"/>
        <v>142.9</v>
      </c>
    </row>
    <row r="228" spans="1:40" x14ac:dyDescent="0.3">
      <c r="A228" s="1" t="s">
        <v>33</v>
      </c>
      <c r="B228" s="1">
        <v>2019</v>
      </c>
      <c r="C228" s="1" t="s">
        <v>38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 s="1">
        <v>150.1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  <c r="AG228" s="1">
        <f t="shared" si="24"/>
        <v>1811.5000000000002</v>
      </c>
      <c r="AH228" s="1">
        <f t="shared" si="25"/>
        <v>166.2</v>
      </c>
      <c r="AI228" s="1">
        <f t="shared" si="26"/>
        <v>417.9</v>
      </c>
      <c r="AJ228" s="1">
        <f t="shared" si="27"/>
        <v>416.7</v>
      </c>
      <c r="AK228" s="1">
        <f t="shared" si="28"/>
        <v>420.4</v>
      </c>
      <c r="AL228" s="1">
        <f t="shared" si="29"/>
        <v>120.1</v>
      </c>
      <c r="AM228" s="1">
        <f t="shared" si="30"/>
        <v>134</v>
      </c>
      <c r="AN228" s="1">
        <f t="shared" si="31"/>
        <v>133.30000000000001</v>
      </c>
    </row>
    <row r="229" spans="1:40" x14ac:dyDescent="0.3">
      <c r="A229" s="1" t="s">
        <v>34</v>
      </c>
      <c r="B229" s="1">
        <v>2019</v>
      </c>
      <c r="C229" s="1" t="s">
        <v>38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 s="1">
        <v>150.1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  <c r="AG229" s="1">
        <f t="shared" si="24"/>
        <v>1791.9000000000003</v>
      </c>
      <c r="AH229" s="1">
        <f t="shared" si="25"/>
        <v>164.1</v>
      </c>
      <c r="AI229" s="1">
        <f t="shared" si="26"/>
        <v>436.1</v>
      </c>
      <c r="AJ229" s="1">
        <f t="shared" si="27"/>
        <v>434.09999999999997</v>
      </c>
      <c r="AK229" s="1">
        <f t="shared" si="28"/>
        <v>431.9</v>
      </c>
      <c r="AL229" s="1">
        <f t="shared" si="29"/>
        <v>124.9</v>
      </c>
      <c r="AM229" s="1">
        <f t="shared" si="30"/>
        <v>139.19999999999999</v>
      </c>
      <c r="AN229" s="1">
        <f t="shared" si="31"/>
        <v>138.19999999999999</v>
      </c>
    </row>
    <row r="230" spans="1:40" x14ac:dyDescent="0.3">
      <c r="A230" s="1" t="s">
        <v>30</v>
      </c>
      <c r="B230" s="1">
        <v>2019</v>
      </c>
      <c r="C230" s="1" t="s">
        <v>39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s="1" t="s">
        <v>32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  <c r="AG230" s="1">
        <f t="shared" si="24"/>
        <v>1804.1999999999998</v>
      </c>
      <c r="AH230" s="1">
        <f t="shared" si="25"/>
        <v>164.2</v>
      </c>
      <c r="AI230" s="1">
        <f t="shared" si="26"/>
        <v>448.59999999999997</v>
      </c>
      <c r="AJ230" s="1">
        <f t="shared" si="27"/>
        <v>297.39999999999998</v>
      </c>
      <c r="AK230" s="1">
        <f t="shared" si="28"/>
        <v>444.2</v>
      </c>
      <c r="AL230" s="1">
        <f t="shared" si="29"/>
        <v>130.19999999999999</v>
      </c>
      <c r="AM230" s="1">
        <f t="shared" si="30"/>
        <v>146.4</v>
      </c>
      <c r="AN230" s="1">
        <f t="shared" si="31"/>
        <v>143.30000000000001</v>
      </c>
    </row>
    <row r="231" spans="1:40" x14ac:dyDescent="0.3">
      <c r="A231" s="1" t="s">
        <v>33</v>
      </c>
      <c r="B231" s="1">
        <v>2019</v>
      </c>
      <c r="C231" s="1" t="s">
        <v>39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  <c r="AG231" s="1">
        <f t="shared" si="24"/>
        <v>1833.2999999999997</v>
      </c>
      <c r="AH231" s="1">
        <f t="shared" si="25"/>
        <v>166.7</v>
      </c>
      <c r="AI231" s="1">
        <f t="shared" si="26"/>
        <v>418.4</v>
      </c>
      <c r="AJ231" s="1">
        <f t="shared" si="27"/>
        <v>417.29999999999995</v>
      </c>
      <c r="AK231" s="1">
        <f t="shared" si="28"/>
        <v>422.90000000000003</v>
      </c>
      <c r="AL231" s="1">
        <f t="shared" si="29"/>
        <v>119.6</v>
      </c>
      <c r="AM231" s="1">
        <f t="shared" si="30"/>
        <v>134.30000000000001</v>
      </c>
      <c r="AN231" s="1">
        <f t="shared" si="31"/>
        <v>133.6</v>
      </c>
    </row>
    <row r="232" spans="1:40" x14ac:dyDescent="0.3">
      <c r="A232" s="1" t="s">
        <v>34</v>
      </c>
      <c r="B232" s="1">
        <v>2019</v>
      </c>
      <c r="C232" s="1" t="s">
        <v>39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  <c r="AG232" s="1">
        <f t="shared" si="24"/>
        <v>1814.1000000000001</v>
      </c>
      <c r="AH232" s="1">
        <f t="shared" si="25"/>
        <v>164.9</v>
      </c>
      <c r="AI232" s="1">
        <f t="shared" si="26"/>
        <v>436.4</v>
      </c>
      <c r="AJ232" s="1">
        <f t="shared" si="27"/>
        <v>434.40000000000003</v>
      </c>
      <c r="AK232" s="1">
        <f t="shared" si="28"/>
        <v>434.2</v>
      </c>
      <c r="AL232" s="1">
        <f t="shared" si="29"/>
        <v>124.6</v>
      </c>
      <c r="AM232" s="1">
        <f t="shared" si="30"/>
        <v>139.6</v>
      </c>
      <c r="AN232" s="1">
        <f t="shared" si="31"/>
        <v>138.6</v>
      </c>
    </row>
    <row r="233" spans="1:40" x14ac:dyDescent="0.3">
      <c r="A233" s="1" t="s">
        <v>30</v>
      </c>
      <c r="B233" s="1">
        <v>2019</v>
      </c>
      <c r="C233" s="1" t="s">
        <v>40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  <c r="AG233" s="1">
        <f t="shared" si="24"/>
        <v>1826.8999999999999</v>
      </c>
      <c r="AH233" s="1">
        <f t="shared" si="25"/>
        <v>164.5</v>
      </c>
      <c r="AI233" s="1">
        <f t="shared" si="26"/>
        <v>449.1</v>
      </c>
      <c r="AJ233" s="1">
        <f t="shared" si="27"/>
        <v>296.8</v>
      </c>
      <c r="AK233" s="1">
        <f t="shared" si="28"/>
        <v>447.4</v>
      </c>
      <c r="AL233" s="1">
        <f t="shared" si="29"/>
        <v>131.19999999999999</v>
      </c>
      <c r="AM233" s="1">
        <f t="shared" si="30"/>
        <v>147.5</v>
      </c>
      <c r="AN233" s="1">
        <f t="shared" si="31"/>
        <v>144.19999999999999</v>
      </c>
    </row>
    <row r="234" spans="1:40" x14ac:dyDescent="0.3">
      <c r="A234" s="1" t="s">
        <v>33</v>
      </c>
      <c r="B234" s="1">
        <v>2019</v>
      </c>
      <c r="C234" s="1" t="s">
        <v>40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 s="1">
        <v>150.6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  <c r="AG234" s="1">
        <f t="shared" si="24"/>
        <v>1857.3999999999999</v>
      </c>
      <c r="AH234" s="1">
        <f t="shared" si="25"/>
        <v>167.2</v>
      </c>
      <c r="AI234" s="1">
        <f t="shared" si="26"/>
        <v>419.3</v>
      </c>
      <c r="AJ234" s="1">
        <f t="shared" si="27"/>
        <v>415.3</v>
      </c>
      <c r="AK234" s="1">
        <f t="shared" si="28"/>
        <v>426.30000000000007</v>
      </c>
      <c r="AL234" s="1">
        <f t="shared" si="29"/>
        <v>120.6</v>
      </c>
      <c r="AM234" s="1">
        <f t="shared" si="30"/>
        <v>135</v>
      </c>
      <c r="AN234" s="1">
        <f t="shared" si="31"/>
        <v>134.5</v>
      </c>
    </row>
    <row r="235" spans="1:40" x14ac:dyDescent="0.3">
      <c r="A235" s="1" t="s">
        <v>34</v>
      </c>
      <c r="B235" s="1">
        <v>2019</v>
      </c>
      <c r="C235" s="1" t="s">
        <v>40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  <c r="AG235" s="1">
        <f t="shared" si="24"/>
        <v>1837.5</v>
      </c>
      <c r="AH235" s="1">
        <f t="shared" si="25"/>
        <v>165.2</v>
      </c>
      <c r="AI235" s="1">
        <f t="shared" si="26"/>
        <v>437</v>
      </c>
      <c r="AJ235" s="1">
        <f t="shared" si="27"/>
        <v>434.09999999999997</v>
      </c>
      <c r="AK235" s="1">
        <f t="shared" si="28"/>
        <v>437.59999999999997</v>
      </c>
      <c r="AL235" s="1">
        <f t="shared" si="29"/>
        <v>125.6</v>
      </c>
      <c r="AM235" s="1">
        <f t="shared" si="30"/>
        <v>140.5</v>
      </c>
      <c r="AN235" s="1">
        <f t="shared" si="31"/>
        <v>139.5</v>
      </c>
    </row>
    <row r="236" spans="1:40" x14ac:dyDescent="0.3">
      <c r="A236" s="1" t="s">
        <v>30</v>
      </c>
      <c r="B236" s="1">
        <v>2019</v>
      </c>
      <c r="C236" s="1" t="s">
        <v>41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  <c r="AG236" s="1">
        <f t="shared" si="24"/>
        <v>1834.5000000000002</v>
      </c>
      <c r="AH236" s="1">
        <f t="shared" si="25"/>
        <v>165.1</v>
      </c>
      <c r="AI236" s="1">
        <f t="shared" si="26"/>
        <v>449.5</v>
      </c>
      <c r="AJ236" s="1">
        <f t="shared" si="27"/>
        <v>296.60000000000002</v>
      </c>
      <c r="AK236" s="1">
        <f t="shared" si="28"/>
        <v>451.2</v>
      </c>
      <c r="AL236" s="1">
        <f t="shared" si="29"/>
        <v>131.4</v>
      </c>
      <c r="AM236" s="1">
        <f t="shared" si="30"/>
        <v>148</v>
      </c>
      <c r="AN236" s="1">
        <f t="shared" si="31"/>
        <v>144.9</v>
      </c>
    </row>
    <row r="237" spans="1:40" x14ac:dyDescent="0.3">
      <c r="A237" s="1" t="s">
        <v>33</v>
      </c>
      <c r="B237" s="1">
        <v>2019</v>
      </c>
      <c r="C237" s="1" t="s">
        <v>41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  <c r="AG237" s="1">
        <f t="shared" si="24"/>
        <v>1869.1</v>
      </c>
      <c r="AH237" s="1">
        <f t="shared" si="25"/>
        <v>167.9</v>
      </c>
      <c r="AI237" s="1">
        <f t="shared" si="26"/>
        <v>420.2</v>
      </c>
      <c r="AJ237" s="1">
        <f t="shared" si="27"/>
        <v>415.20000000000005</v>
      </c>
      <c r="AK237" s="1">
        <f t="shared" si="28"/>
        <v>430.8</v>
      </c>
      <c r="AL237" s="1">
        <f t="shared" si="29"/>
        <v>120.8</v>
      </c>
      <c r="AM237" s="1">
        <f t="shared" si="30"/>
        <v>135.4</v>
      </c>
      <c r="AN237" s="1">
        <f t="shared" si="31"/>
        <v>135.30000000000001</v>
      </c>
    </row>
    <row r="238" spans="1:40" x14ac:dyDescent="0.3">
      <c r="A238" s="1" t="s">
        <v>34</v>
      </c>
      <c r="B238" s="1">
        <v>2019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  <c r="AG238" s="1">
        <f t="shared" si="24"/>
        <v>1846.5</v>
      </c>
      <c r="AH238" s="1">
        <f t="shared" si="25"/>
        <v>165.8</v>
      </c>
      <c r="AI238" s="1">
        <f t="shared" si="26"/>
        <v>437.6</v>
      </c>
      <c r="AJ238" s="1">
        <f t="shared" si="27"/>
        <v>434.6</v>
      </c>
      <c r="AK238" s="1">
        <f t="shared" si="28"/>
        <v>441.79999999999995</v>
      </c>
      <c r="AL238" s="1">
        <f t="shared" si="29"/>
        <v>125.8</v>
      </c>
      <c r="AM238" s="1">
        <f t="shared" si="30"/>
        <v>140.9</v>
      </c>
      <c r="AN238" s="1">
        <f t="shared" si="31"/>
        <v>140.19999999999999</v>
      </c>
    </row>
    <row r="239" spans="1:40" x14ac:dyDescent="0.3">
      <c r="A239" s="1" t="s">
        <v>30</v>
      </c>
      <c r="B239" s="1">
        <v>2019</v>
      </c>
      <c r="C239" s="1" t="s">
        <v>42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s="1" t="s">
        <v>32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  <c r="AG239" s="1">
        <f t="shared" si="24"/>
        <v>1848.7</v>
      </c>
      <c r="AH239" s="1">
        <f t="shared" si="25"/>
        <v>165.7</v>
      </c>
      <c r="AI239" s="1">
        <f t="shared" si="26"/>
        <v>449.29999999999995</v>
      </c>
      <c r="AJ239" s="1">
        <f t="shared" si="27"/>
        <v>297.20000000000005</v>
      </c>
      <c r="AK239" s="1">
        <f t="shared" si="28"/>
        <v>453.8</v>
      </c>
      <c r="AL239" s="1">
        <f t="shared" si="29"/>
        <v>131.6</v>
      </c>
      <c r="AM239" s="1">
        <f t="shared" si="30"/>
        <v>148.30000000000001</v>
      </c>
      <c r="AN239" s="1">
        <f t="shared" si="31"/>
        <v>145.4</v>
      </c>
    </row>
    <row r="240" spans="1:40" x14ac:dyDescent="0.3">
      <c r="A240" s="1" t="s">
        <v>33</v>
      </c>
      <c r="B240" s="1">
        <v>2019</v>
      </c>
      <c r="C240" s="1" t="s">
        <v>42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 s="1">
        <v>152.19999999999999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  <c r="AG240" s="1">
        <f t="shared" si="24"/>
        <v>1874.9</v>
      </c>
      <c r="AH240" s="1">
        <f t="shared" si="25"/>
        <v>168.6</v>
      </c>
      <c r="AI240" s="1">
        <f t="shared" si="26"/>
        <v>420.8</v>
      </c>
      <c r="AJ240" s="1">
        <f t="shared" si="27"/>
        <v>417.09999999999997</v>
      </c>
      <c r="AK240" s="1">
        <f t="shared" si="28"/>
        <v>432.5</v>
      </c>
      <c r="AL240" s="1">
        <f t="shared" si="29"/>
        <v>121.2</v>
      </c>
      <c r="AM240" s="1">
        <f t="shared" si="30"/>
        <v>135.9</v>
      </c>
      <c r="AN240" s="1">
        <f t="shared" si="31"/>
        <v>135.69999999999999</v>
      </c>
    </row>
    <row r="241" spans="1:40" x14ac:dyDescent="0.3">
      <c r="A241" s="1" t="s">
        <v>34</v>
      </c>
      <c r="B241" s="1">
        <v>2019</v>
      </c>
      <c r="C241" s="1" t="s">
        <v>42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 s="1">
        <v>152.19999999999999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  <c r="AG241" s="1">
        <f t="shared" si="24"/>
        <v>1857.6999999999998</v>
      </c>
      <c r="AH241" s="1">
        <f t="shared" si="25"/>
        <v>166.5</v>
      </c>
      <c r="AI241" s="1">
        <f t="shared" si="26"/>
        <v>437.69999999999993</v>
      </c>
      <c r="AJ241" s="1">
        <f t="shared" si="27"/>
        <v>436</v>
      </c>
      <c r="AK241" s="1">
        <f t="shared" si="28"/>
        <v>443.9</v>
      </c>
      <c r="AL241" s="1">
        <f t="shared" si="29"/>
        <v>126.1</v>
      </c>
      <c r="AM241" s="1">
        <f t="shared" si="30"/>
        <v>141.30000000000001</v>
      </c>
      <c r="AN241" s="1">
        <f t="shared" si="31"/>
        <v>140.69999999999999</v>
      </c>
    </row>
    <row r="242" spans="1:40" x14ac:dyDescent="0.3">
      <c r="A242" s="1" t="s">
        <v>30</v>
      </c>
      <c r="B242" s="1">
        <v>2019</v>
      </c>
      <c r="C242" s="1" t="s">
        <v>43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s="1" t="s">
        <v>32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  <c r="AG242" s="1">
        <f t="shared" si="24"/>
        <v>1876.8999999999996</v>
      </c>
      <c r="AH242" s="1">
        <f t="shared" si="25"/>
        <v>166.3</v>
      </c>
      <c r="AI242" s="1">
        <f t="shared" si="26"/>
        <v>449.4</v>
      </c>
      <c r="AJ242" s="1">
        <f t="shared" si="27"/>
        <v>298.29999999999995</v>
      </c>
      <c r="AK242" s="1">
        <f t="shared" si="28"/>
        <v>454.7</v>
      </c>
      <c r="AL242" s="1">
        <f t="shared" si="29"/>
        <v>131.69999999999999</v>
      </c>
      <c r="AM242" s="1">
        <f t="shared" si="30"/>
        <v>148.69999999999999</v>
      </c>
      <c r="AN242" s="1">
        <f t="shared" si="31"/>
        <v>145.69999999999999</v>
      </c>
    </row>
    <row r="243" spans="1:40" x14ac:dyDescent="0.3">
      <c r="A243" s="1" t="s">
        <v>33</v>
      </c>
      <c r="B243" s="1">
        <v>2019</v>
      </c>
      <c r="C243" s="1" t="s">
        <v>43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  <c r="AG243" s="1">
        <f t="shared" si="24"/>
        <v>1902.6000000000001</v>
      </c>
      <c r="AH243" s="1">
        <f t="shared" si="25"/>
        <v>169.3</v>
      </c>
      <c r="AI243" s="1">
        <f t="shared" si="26"/>
        <v>422.20000000000005</v>
      </c>
      <c r="AJ243" s="1">
        <f t="shared" si="27"/>
        <v>420.59999999999997</v>
      </c>
      <c r="AK243" s="1">
        <f t="shared" si="28"/>
        <v>433.6</v>
      </c>
      <c r="AL243" s="1">
        <f t="shared" si="29"/>
        <v>121.5</v>
      </c>
      <c r="AM243" s="1">
        <f t="shared" si="30"/>
        <v>136.19999999999999</v>
      </c>
      <c r="AN243" s="1">
        <f t="shared" si="31"/>
        <v>136</v>
      </c>
    </row>
    <row r="244" spans="1:40" x14ac:dyDescent="0.3">
      <c r="A244" s="1" t="s">
        <v>34</v>
      </c>
      <c r="B244" s="1">
        <v>2019</v>
      </c>
      <c r="C244" s="1" t="s">
        <v>43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 s="1">
        <v>153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  <c r="AG244" s="1">
        <f t="shared" si="24"/>
        <v>1885.5999999999997</v>
      </c>
      <c r="AH244" s="1">
        <f t="shared" si="25"/>
        <v>167.1</v>
      </c>
      <c r="AI244" s="1">
        <f t="shared" si="26"/>
        <v>438.40000000000003</v>
      </c>
      <c r="AJ244" s="1">
        <f t="shared" si="27"/>
        <v>438.6</v>
      </c>
      <c r="AK244" s="1">
        <f t="shared" si="28"/>
        <v>444.8</v>
      </c>
      <c r="AL244" s="1">
        <f t="shared" si="29"/>
        <v>126.3</v>
      </c>
      <c r="AM244" s="1">
        <f t="shared" si="30"/>
        <v>141.69999999999999</v>
      </c>
      <c r="AN244" s="1">
        <f t="shared" si="31"/>
        <v>141</v>
      </c>
    </row>
    <row r="245" spans="1:40" x14ac:dyDescent="0.3">
      <c r="A245" s="1" t="s">
        <v>30</v>
      </c>
      <c r="B245" s="1">
        <v>2019</v>
      </c>
      <c r="C245" s="1" t="s">
        <v>45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  <c r="AG245" s="1">
        <f t="shared" si="24"/>
        <v>1904.6000000000001</v>
      </c>
      <c r="AH245" s="1">
        <f t="shared" si="25"/>
        <v>167.2</v>
      </c>
      <c r="AI245" s="1">
        <f t="shared" si="26"/>
        <v>450.8</v>
      </c>
      <c r="AJ245" s="1">
        <f t="shared" si="27"/>
        <v>299.3</v>
      </c>
      <c r="AK245" s="1">
        <f t="shared" si="28"/>
        <v>455.70000000000005</v>
      </c>
      <c r="AL245" s="1">
        <f t="shared" si="29"/>
        <v>132.1</v>
      </c>
      <c r="AM245" s="1">
        <f t="shared" si="30"/>
        <v>149.1</v>
      </c>
      <c r="AN245" s="1">
        <f t="shared" si="31"/>
        <v>146.1</v>
      </c>
    </row>
    <row r="246" spans="1:40" x14ac:dyDescent="0.3">
      <c r="A246" s="1" t="s">
        <v>33</v>
      </c>
      <c r="B246" s="1">
        <v>2019</v>
      </c>
      <c r="C246" s="1" t="s">
        <v>45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 s="1">
        <v>153.5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  <c r="AG246" s="1">
        <f t="shared" si="24"/>
        <v>1923.9999999999998</v>
      </c>
      <c r="AH246" s="1">
        <f t="shared" si="25"/>
        <v>169.9</v>
      </c>
      <c r="AI246" s="1">
        <f t="shared" si="26"/>
        <v>423.09999999999997</v>
      </c>
      <c r="AJ246" s="1">
        <f t="shared" si="27"/>
        <v>424.79999999999995</v>
      </c>
      <c r="AK246" s="1">
        <f t="shared" si="28"/>
        <v>434.40000000000003</v>
      </c>
      <c r="AL246" s="1">
        <f t="shared" si="29"/>
        <v>121.7</v>
      </c>
      <c r="AM246" s="1">
        <f t="shared" si="30"/>
        <v>136.69999999999999</v>
      </c>
      <c r="AN246" s="1">
        <f t="shared" si="31"/>
        <v>136.30000000000001</v>
      </c>
    </row>
    <row r="247" spans="1:40" x14ac:dyDescent="0.3">
      <c r="A247" s="1" t="s">
        <v>34</v>
      </c>
      <c r="B247" s="1">
        <v>2019</v>
      </c>
      <c r="C247" s="1" t="s">
        <v>45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 s="1">
        <v>153.5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  <c r="AG247" s="1">
        <f t="shared" si="24"/>
        <v>1910.9</v>
      </c>
      <c r="AH247" s="1">
        <f t="shared" si="25"/>
        <v>167.9</v>
      </c>
      <c r="AI247" s="1">
        <f t="shared" si="26"/>
        <v>439.5</v>
      </c>
      <c r="AJ247" s="1">
        <f t="shared" si="27"/>
        <v>441.1</v>
      </c>
      <c r="AK247" s="1">
        <f t="shared" si="28"/>
        <v>445.7</v>
      </c>
      <c r="AL247" s="1">
        <f t="shared" si="29"/>
        <v>126.6</v>
      </c>
      <c r="AM247" s="1">
        <f t="shared" si="30"/>
        <v>142.1</v>
      </c>
      <c r="AN247" s="1">
        <f t="shared" si="31"/>
        <v>141.30000000000001</v>
      </c>
    </row>
    <row r="248" spans="1:40" x14ac:dyDescent="0.3">
      <c r="A248" s="1" t="s">
        <v>30</v>
      </c>
      <c r="B248" s="1">
        <v>2019</v>
      </c>
      <c r="C248" s="1" t="s">
        <v>46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s="1" t="s">
        <v>32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  <c r="AG248" s="1">
        <f t="shared" si="24"/>
        <v>1940.9999999999995</v>
      </c>
      <c r="AH248" s="1">
        <f t="shared" si="25"/>
        <v>167.8</v>
      </c>
      <c r="AI248" s="1">
        <f t="shared" si="26"/>
        <v>451.79999999999995</v>
      </c>
      <c r="AJ248" s="1">
        <f t="shared" si="27"/>
        <v>301.10000000000002</v>
      </c>
      <c r="AK248" s="1">
        <f t="shared" si="28"/>
        <v>456.5</v>
      </c>
      <c r="AL248" s="1">
        <f t="shared" si="29"/>
        <v>135</v>
      </c>
      <c r="AM248" s="1">
        <f t="shared" si="30"/>
        <v>149.5</v>
      </c>
      <c r="AN248" s="1">
        <f t="shared" si="31"/>
        <v>147.1</v>
      </c>
    </row>
    <row r="249" spans="1:40" x14ac:dyDescent="0.3">
      <c r="A249" s="1" t="s">
        <v>33</v>
      </c>
      <c r="B249" s="1">
        <v>2019</v>
      </c>
      <c r="C249" s="1" t="s">
        <v>46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 s="1">
        <v>152.80000000000001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  <c r="AG249" s="1">
        <f t="shared" si="24"/>
        <v>1956.7</v>
      </c>
      <c r="AH249" s="1">
        <f t="shared" si="25"/>
        <v>170.4</v>
      </c>
      <c r="AI249" s="1">
        <f t="shared" si="26"/>
        <v>424.20000000000005</v>
      </c>
      <c r="AJ249" s="1">
        <f t="shared" si="27"/>
        <v>426.2</v>
      </c>
      <c r="AK249" s="1">
        <f t="shared" si="28"/>
        <v>435.3</v>
      </c>
      <c r="AL249" s="1">
        <f t="shared" si="29"/>
        <v>125.2</v>
      </c>
      <c r="AM249" s="1">
        <f t="shared" si="30"/>
        <v>136.80000000000001</v>
      </c>
      <c r="AN249" s="1">
        <f t="shared" si="31"/>
        <v>137.69999999999999</v>
      </c>
    </row>
    <row r="250" spans="1:40" x14ac:dyDescent="0.3">
      <c r="A250" s="1" t="s">
        <v>34</v>
      </c>
      <c r="B250" s="1">
        <v>2019</v>
      </c>
      <c r="C250" s="1" t="s">
        <v>46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 s="1">
        <v>152.80000000000001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  <c r="AG250" s="1">
        <f t="shared" si="24"/>
        <v>1946.1000000000001</v>
      </c>
      <c r="AH250" s="1">
        <f t="shared" si="25"/>
        <v>168.5</v>
      </c>
      <c r="AI250" s="1">
        <f t="shared" si="26"/>
        <v>440.6</v>
      </c>
      <c r="AJ250" s="1">
        <f t="shared" si="27"/>
        <v>442.3</v>
      </c>
      <c r="AK250" s="1">
        <f t="shared" si="28"/>
        <v>446.5</v>
      </c>
      <c r="AL250" s="1">
        <f t="shared" si="29"/>
        <v>129.80000000000001</v>
      </c>
      <c r="AM250" s="1">
        <f t="shared" si="30"/>
        <v>142.30000000000001</v>
      </c>
      <c r="AN250" s="1">
        <f t="shared" si="31"/>
        <v>142.5</v>
      </c>
    </row>
    <row r="251" spans="1:40" x14ac:dyDescent="0.3">
      <c r="A251" s="1" t="s">
        <v>30</v>
      </c>
      <c r="B251" s="1">
        <v>2020</v>
      </c>
      <c r="C251" s="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  <c r="AG251" s="1">
        <f t="shared" si="24"/>
        <v>1938.6</v>
      </c>
      <c r="AH251" s="1">
        <f t="shared" si="25"/>
        <v>168.6</v>
      </c>
      <c r="AI251" s="1">
        <f t="shared" si="26"/>
        <v>452.30000000000007</v>
      </c>
      <c r="AJ251" s="1">
        <f t="shared" si="27"/>
        <v>302.10000000000002</v>
      </c>
      <c r="AK251" s="1">
        <f t="shared" si="28"/>
        <v>459.9</v>
      </c>
      <c r="AL251" s="1">
        <f t="shared" si="29"/>
        <v>136.30000000000001</v>
      </c>
      <c r="AM251" s="1">
        <f t="shared" si="30"/>
        <v>150.1</v>
      </c>
      <c r="AN251" s="1">
        <f t="shared" si="31"/>
        <v>148.1</v>
      </c>
    </row>
    <row r="252" spans="1:40" x14ac:dyDescent="0.3">
      <c r="A252" s="1" t="s">
        <v>33</v>
      </c>
      <c r="B252" s="1">
        <v>2020</v>
      </c>
      <c r="C252" s="1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  <c r="AG252" s="1">
        <f t="shared" si="24"/>
        <v>1945.3999999999999</v>
      </c>
      <c r="AH252" s="1">
        <f t="shared" si="25"/>
        <v>170.8</v>
      </c>
      <c r="AI252" s="1">
        <f t="shared" si="26"/>
        <v>425.1</v>
      </c>
      <c r="AJ252" s="1">
        <f t="shared" si="27"/>
        <v>429.1</v>
      </c>
      <c r="AK252" s="1">
        <f t="shared" si="28"/>
        <v>438</v>
      </c>
      <c r="AL252" s="1">
        <f t="shared" si="29"/>
        <v>126.1</v>
      </c>
      <c r="AM252" s="1">
        <f t="shared" si="30"/>
        <v>137.19999999999999</v>
      </c>
      <c r="AN252" s="1">
        <f t="shared" si="31"/>
        <v>138.4</v>
      </c>
    </row>
    <row r="253" spans="1:40" x14ac:dyDescent="0.3">
      <c r="A253" s="1" t="s">
        <v>34</v>
      </c>
      <c r="B253" s="1">
        <v>2020</v>
      </c>
      <c r="C253" s="1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 s="1">
        <v>153.9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  <c r="AG253" s="1">
        <f t="shared" si="24"/>
        <v>1940.3999999999999</v>
      </c>
      <c r="AH253" s="1">
        <f t="shared" si="25"/>
        <v>169.2</v>
      </c>
      <c r="AI253" s="1">
        <f t="shared" si="26"/>
        <v>441.2</v>
      </c>
      <c r="AJ253" s="1">
        <f t="shared" si="27"/>
        <v>444.7</v>
      </c>
      <c r="AK253" s="1">
        <f t="shared" si="28"/>
        <v>449.59999999999997</v>
      </c>
      <c r="AL253" s="1">
        <f t="shared" si="29"/>
        <v>130.9</v>
      </c>
      <c r="AM253" s="1">
        <f t="shared" si="30"/>
        <v>142.80000000000001</v>
      </c>
      <c r="AN253" s="1">
        <f t="shared" si="31"/>
        <v>143.4</v>
      </c>
    </row>
    <row r="254" spans="1:40" x14ac:dyDescent="0.3">
      <c r="A254" s="1" t="s">
        <v>30</v>
      </c>
      <c r="B254" s="1">
        <v>2020</v>
      </c>
      <c r="C254" s="1" t="s">
        <v>35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s="1" t="s">
        <v>32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  <c r="AG254" s="1">
        <f t="shared" si="24"/>
        <v>1909.7999999999997</v>
      </c>
      <c r="AH254" s="1">
        <f t="shared" si="25"/>
        <v>169.4</v>
      </c>
      <c r="AI254" s="1">
        <f t="shared" si="26"/>
        <v>452.8</v>
      </c>
      <c r="AJ254" s="1">
        <f t="shared" si="27"/>
        <v>304.10000000000002</v>
      </c>
      <c r="AK254" s="1">
        <f t="shared" si="28"/>
        <v>461.5</v>
      </c>
      <c r="AL254" s="1">
        <f t="shared" si="29"/>
        <v>136</v>
      </c>
      <c r="AM254" s="1">
        <f t="shared" si="30"/>
        <v>150.4</v>
      </c>
      <c r="AN254" s="1">
        <f t="shared" si="31"/>
        <v>148.4</v>
      </c>
    </row>
    <row r="255" spans="1:40" x14ac:dyDescent="0.3">
      <c r="A255" s="1" t="s">
        <v>33</v>
      </c>
      <c r="B255" s="1">
        <v>2020</v>
      </c>
      <c r="C255" s="1" t="s">
        <v>35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 s="1">
        <v>154.80000000000001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  <c r="AG255" s="1">
        <f t="shared" si="24"/>
        <v>1916.6</v>
      </c>
      <c r="AH255" s="1">
        <f t="shared" si="25"/>
        <v>172</v>
      </c>
      <c r="AI255" s="1">
        <f t="shared" si="26"/>
        <v>426</v>
      </c>
      <c r="AJ255" s="1">
        <f t="shared" si="27"/>
        <v>434.1</v>
      </c>
      <c r="AK255" s="1">
        <f t="shared" si="28"/>
        <v>440.1</v>
      </c>
      <c r="AL255" s="1">
        <f t="shared" si="29"/>
        <v>125.2</v>
      </c>
      <c r="AM255" s="1">
        <f t="shared" si="30"/>
        <v>137.69999999999999</v>
      </c>
      <c r="AN255" s="1">
        <f t="shared" si="31"/>
        <v>138.4</v>
      </c>
    </row>
    <row r="256" spans="1:40" x14ac:dyDescent="0.3">
      <c r="A256" s="1" t="s">
        <v>34</v>
      </c>
      <c r="B256" s="1">
        <v>2020</v>
      </c>
      <c r="C256" s="1" t="s">
        <v>35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 s="1">
        <v>154.80000000000001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  <c r="AG256" s="1">
        <f t="shared" si="24"/>
        <v>1911.6</v>
      </c>
      <c r="AH256" s="1">
        <f t="shared" si="25"/>
        <v>170.1</v>
      </c>
      <c r="AI256" s="1">
        <f t="shared" si="26"/>
        <v>442</v>
      </c>
      <c r="AJ256" s="1">
        <f t="shared" si="27"/>
        <v>448.4</v>
      </c>
      <c r="AK256" s="1">
        <f t="shared" si="28"/>
        <v>451.29999999999995</v>
      </c>
      <c r="AL256" s="1">
        <f t="shared" si="29"/>
        <v>130.30000000000001</v>
      </c>
      <c r="AM256" s="1">
        <f t="shared" si="30"/>
        <v>143.19999999999999</v>
      </c>
      <c r="AN256" s="1">
        <f t="shared" si="31"/>
        <v>143.6</v>
      </c>
    </row>
    <row r="257" spans="1:40" x14ac:dyDescent="0.3">
      <c r="A257" s="1" t="s">
        <v>30</v>
      </c>
      <c r="B257" s="1">
        <v>2020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  <c r="AG257" s="1">
        <f t="shared" si="24"/>
        <v>1894.5999999999997</v>
      </c>
      <c r="AH257" s="1">
        <f t="shared" si="25"/>
        <v>170.5</v>
      </c>
      <c r="AI257" s="1">
        <f t="shared" si="26"/>
        <v>453.5</v>
      </c>
      <c r="AJ257" s="1">
        <f t="shared" si="27"/>
        <v>304.89999999999998</v>
      </c>
      <c r="AK257" s="1">
        <f t="shared" si="28"/>
        <v>463</v>
      </c>
      <c r="AL257" s="1">
        <f t="shared" si="29"/>
        <v>135.80000000000001</v>
      </c>
      <c r="AM257" s="1">
        <f t="shared" si="30"/>
        <v>151.19999999999999</v>
      </c>
      <c r="AN257" s="1">
        <f t="shared" si="31"/>
        <v>148.6</v>
      </c>
    </row>
    <row r="258" spans="1:40" x14ac:dyDescent="0.3">
      <c r="A258" s="1" t="s">
        <v>33</v>
      </c>
      <c r="B258" s="1">
        <v>2020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 s="1">
        <v>154.5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  <c r="AG258" s="1">
        <f t="shared" si="24"/>
        <v>1898.5</v>
      </c>
      <c r="AH258" s="1">
        <f t="shared" si="25"/>
        <v>173.3</v>
      </c>
      <c r="AI258" s="1">
        <f t="shared" si="26"/>
        <v>427.1</v>
      </c>
      <c r="AJ258" s="1">
        <f t="shared" si="27"/>
        <v>436.7</v>
      </c>
      <c r="AK258" s="1">
        <f t="shared" si="28"/>
        <v>442.8</v>
      </c>
      <c r="AL258" s="1">
        <f t="shared" si="29"/>
        <v>124.6</v>
      </c>
      <c r="AM258" s="1">
        <f t="shared" si="30"/>
        <v>137.9</v>
      </c>
      <c r="AN258" s="1">
        <f t="shared" si="31"/>
        <v>138.69999999999999</v>
      </c>
    </row>
    <row r="259" spans="1:40" x14ac:dyDescent="0.3">
      <c r="A259" s="1" t="s">
        <v>34</v>
      </c>
      <c r="B259" s="1">
        <v>2020</v>
      </c>
      <c r="C259" s="1" t="s">
        <v>36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 s="1">
        <v>154.5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  <c r="AG259" s="1">
        <f t="shared" ref="AG259:AG322" si="32">SUM(D259:P259)</f>
        <v>1895.4</v>
      </c>
      <c r="AH259" s="1">
        <f t="shared" ref="AH259:AH322" si="33">SUM(Q259)</f>
        <v>171.2</v>
      </c>
      <c r="AI259" s="1">
        <f t="shared" ref="AI259:AI322" si="34">SUM(R259:T259)</f>
        <v>442.90000000000003</v>
      </c>
      <c r="AJ259" s="1">
        <f t="shared" ref="AJ259:AJ322" si="35">SUM(U259:W259)</f>
        <v>449.79999999999995</v>
      </c>
      <c r="AK259" s="1">
        <f t="shared" ref="AK259:AK322" si="36">SUM(X259,AA259,AB259)</f>
        <v>453.59999999999997</v>
      </c>
      <c r="AL259" s="1">
        <f t="shared" ref="AL259:AL322" si="37">SUM(Y259)</f>
        <v>129.9</v>
      </c>
      <c r="AM259" s="1">
        <f t="shared" ref="AM259:AM322" si="38">SUM(Z259)</f>
        <v>143.69999999999999</v>
      </c>
      <c r="AN259" s="1">
        <f t="shared" ref="AN259:AN322" si="39">SUM(AC259)</f>
        <v>143.80000000000001</v>
      </c>
    </row>
    <row r="260" spans="1:40" x14ac:dyDescent="0.3">
      <c r="A260" s="1" t="s">
        <v>30</v>
      </c>
      <c r="B260" s="1">
        <v>2020</v>
      </c>
      <c r="C260" s="1" t="s">
        <v>37</v>
      </c>
      <c r="D260" s="1">
        <v>147.19999999999999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154.30000000000001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  <c r="AG260" s="1">
        <f t="shared" si="32"/>
        <v>1614.8000000000002</v>
      </c>
      <c r="AH260" s="1">
        <f t="shared" si="33"/>
        <v>0</v>
      </c>
      <c r="AI260" s="1">
        <f t="shared" si="34"/>
        <v>0</v>
      </c>
      <c r="AJ260" s="1">
        <f t="shared" si="35"/>
        <v>148.4</v>
      </c>
      <c r="AK260" s="1">
        <f t="shared" si="36"/>
        <v>154.30000000000001</v>
      </c>
      <c r="AL260" s="1">
        <f t="shared" si="37"/>
        <v>0</v>
      </c>
      <c r="AM260" s="1">
        <f t="shared" si="38"/>
        <v>0</v>
      </c>
      <c r="AN260" s="1">
        <f t="shared" si="39"/>
        <v>0</v>
      </c>
    </row>
    <row r="261" spans="1:40" x14ac:dyDescent="0.3">
      <c r="A261" s="1" t="s">
        <v>33</v>
      </c>
      <c r="B261" s="1">
        <v>2020</v>
      </c>
      <c r="C261" s="1" t="s">
        <v>37</v>
      </c>
      <c r="D261" s="1">
        <v>151.80000000000001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144.80000000000001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  <c r="AG261" s="1">
        <f t="shared" si="32"/>
        <v>1636.7</v>
      </c>
      <c r="AH261" s="1">
        <f t="shared" si="33"/>
        <v>0</v>
      </c>
      <c r="AI261" s="1">
        <f t="shared" si="34"/>
        <v>0</v>
      </c>
      <c r="AJ261" s="1">
        <f t="shared" si="35"/>
        <v>292.7</v>
      </c>
      <c r="AK261" s="1">
        <f t="shared" si="36"/>
        <v>144.80000000000001</v>
      </c>
      <c r="AL261" s="1">
        <f t="shared" si="37"/>
        <v>0</v>
      </c>
      <c r="AM261" s="1">
        <f t="shared" si="38"/>
        <v>0</v>
      </c>
      <c r="AN261" s="1">
        <f t="shared" si="39"/>
        <v>0</v>
      </c>
    </row>
    <row r="262" spans="1:40" x14ac:dyDescent="0.3">
      <c r="A262" s="1" t="s">
        <v>34</v>
      </c>
      <c r="B262" s="1">
        <v>2020</v>
      </c>
      <c r="C262" s="1" t="s">
        <v>37</v>
      </c>
      <c r="D262" s="1">
        <v>148.69999999999999</v>
      </c>
      <c r="E262" s="1" t="s">
        <v>32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150.69999999999999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  <c r="AG262" s="1">
        <f t="shared" si="32"/>
        <v>1622.7</v>
      </c>
      <c r="AH262" s="1">
        <f t="shared" si="33"/>
        <v>0</v>
      </c>
      <c r="AI262" s="1">
        <f t="shared" si="34"/>
        <v>0</v>
      </c>
      <c r="AJ262" s="1">
        <f t="shared" si="35"/>
        <v>299.7</v>
      </c>
      <c r="AK262" s="1">
        <f t="shared" si="36"/>
        <v>150.69999999999999</v>
      </c>
      <c r="AL262" s="1">
        <f t="shared" si="37"/>
        <v>0</v>
      </c>
      <c r="AM262" s="1">
        <f t="shared" si="38"/>
        <v>0</v>
      </c>
      <c r="AN262" s="1">
        <f t="shared" si="39"/>
        <v>0</v>
      </c>
    </row>
    <row r="263" spans="1:40" x14ac:dyDescent="0.3">
      <c r="A263" s="1" t="s">
        <v>30</v>
      </c>
      <c r="B263" s="1">
        <v>2020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  <c r="AG263" s="1">
        <f t="shared" si="32"/>
        <v>0</v>
      </c>
      <c r="AH263" s="1">
        <f t="shared" si="33"/>
        <v>0</v>
      </c>
      <c r="AI263" s="1">
        <f t="shared" si="34"/>
        <v>0</v>
      </c>
      <c r="AJ263" s="1">
        <f t="shared" si="35"/>
        <v>0</v>
      </c>
      <c r="AK263" s="1">
        <f t="shared" si="36"/>
        <v>0</v>
      </c>
      <c r="AL263" s="1">
        <f t="shared" si="37"/>
        <v>0</v>
      </c>
      <c r="AM263" s="1">
        <f t="shared" si="38"/>
        <v>0</v>
      </c>
      <c r="AN263" s="1">
        <f t="shared" si="39"/>
        <v>0</v>
      </c>
    </row>
    <row r="264" spans="1:40" x14ac:dyDescent="0.3">
      <c r="A264" s="1" t="s">
        <v>33</v>
      </c>
      <c r="B264" s="1">
        <v>2020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  <c r="AG264" s="1">
        <f t="shared" si="32"/>
        <v>0</v>
      </c>
      <c r="AH264" s="1">
        <f t="shared" si="33"/>
        <v>0</v>
      </c>
      <c r="AI264" s="1">
        <f t="shared" si="34"/>
        <v>0</v>
      </c>
      <c r="AJ264" s="1">
        <f t="shared" si="35"/>
        <v>0</v>
      </c>
      <c r="AK264" s="1">
        <f t="shared" si="36"/>
        <v>0</v>
      </c>
      <c r="AL264" s="1">
        <f t="shared" si="37"/>
        <v>0</v>
      </c>
      <c r="AM264" s="1">
        <f t="shared" si="38"/>
        <v>0</v>
      </c>
      <c r="AN264" s="1">
        <f t="shared" si="39"/>
        <v>0</v>
      </c>
    </row>
    <row r="265" spans="1:40" x14ac:dyDescent="0.3">
      <c r="A265" s="1" t="s">
        <v>34</v>
      </c>
      <c r="B265" s="1">
        <v>2020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  <c r="AG265" s="1">
        <f t="shared" si="32"/>
        <v>0</v>
      </c>
      <c r="AH265" s="1">
        <f t="shared" si="33"/>
        <v>0</v>
      </c>
      <c r="AI265" s="1">
        <f t="shared" si="34"/>
        <v>0</v>
      </c>
      <c r="AJ265" s="1">
        <f t="shared" si="35"/>
        <v>0</v>
      </c>
      <c r="AK265" s="1">
        <f t="shared" si="36"/>
        <v>0</v>
      </c>
      <c r="AL265" s="1">
        <f t="shared" si="37"/>
        <v>0</v>
      </c>
      <c r="AM265" s="1">
        <f t="shared" si="38"/>
        <v>0</v>
      </c>
      <c r="AN265" s="1">
        <f t="shared" si="39"/>
        <v>0</v>
      </c>
    </row>
    <row r="266" spans="1:40" x14ac:dyDescent="0.3">
      <c r="A266" s="1" t="s">
        <v>30</v>
      </c>
      <c r="B266" s="1">
        <v>2020</v>
      </c>
      <c r="C266" s="1" t="s">
        <v>39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s="1" t="s">
        <v>32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  <c r="AG266" s="1">
        <f t="shared" si="32"/>
        <v>1951</v>
      </c>
      <c r="AH266" s="1">
        <f t="shared" si="33"/>
        <v>182.4</v>
      </c>
      <c r="AI266" s="1">
        <f t="shared" si="34"/>
        <v>458.79999999999995</v>
      </c>
      <c r="AJ266" s="1">
        <f t="shared" si="35"/>
        <v>296.60000000000002</v>
      </c>
      <c r="AK266" s="1">
        <f t="shared" si="36"/>
        <v>471.2</v>
      </c>
      <c r="AL266" s="1">
        <f t="shared" si="37"/>
        <v>141.4</v>
      </c>
      <c r="AM266" s="1">
        <f t="shared" si="38"/>
        <v>153.19999999999999</v>
      </c>
      <c r="AN266" s="1">
        <f t="shared" si="39"/>
        <v>151.69999999999999</v>
      </c>
    </row>
    <row r="267" spans="1:40" x14ac:dyDescent="0.3">
      <c r="A267" s="1" t="s">
        <v>33</v>
      </c>
      <c r="B267" s="1">
        <v>2020</v>
      </c>
      <c r="C267" s="1" t="s">
        <v>39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 s="1">
        <v>154.69999999999999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  <c r="AG267" s="1">
        <f t="shared" si="32"/>
        <v>1994.9999999999998</v>
      </c>
      <c r="AH267" s="1">
        <f t="shared" si="33"/>
        <v>186.7</v>
      </c>
      <c r="AI267" s="1">
        <f t="shared" si="34"/>
        <v>432.9</v>
      </c>
      <c r="AJ267" s="1">
        <f t="shared" si="35"/>
        <v>432.19999999999993</v>
      </c>
      <c r="AK267" s="1">
        <f t="shared" si="36"/>
        <v>452.8</v>
      </c>
      <c r="AL267" s="1">
        <f t="shared" si="37"/>
        <v>129.30000000000001</v>
      </c>
      <c r="AM267" s="1">
        <f t="shared" si="38"/>
        <v>144.5</v>
      </c>
      <c r="AN267" s="1">
        <f t="shared" si="39"/>
        <v>142</v>
      </c>
    </row>
    <row r="268" spans="1:40" x14ac:dyDescent="0.3">
      <c r="A268" s="1" t="s">
        <v>34</v>
      </c>
      <c r="B268" s="1">
        <v>2020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154.69999999999999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  <c r="AG268" s="1">
        <f t="shared" si="32"/>
        <v>1966.8000000000002</v>
      </c>
      <c r="AH268" s="1">
        <f t="shared" si="33"/>
        <v>183.5</v>
      </c>
      <c r="AI268" s="1">
        <f t="shared" si="34"/>
        <v>448.29999999999995</v>
      </c>
      <c r="AJ268" s="1">
        <f t="shared" si="35"/>
        <v>443</v>
      </c>
      <c r="AK268" s="1">
        <f t="shared" si="36"/>
        <v>462.4</v>
      </c>
      <c r="AL268" s="1">
        <f t="shared" si="37"/>
        <v>135</v>
      </c>
      <c r="AM268" s="1">
        <f t="shared" si="38"/>
        <v>148.30000000000001</v>
      </c>
      <c r="AN268" s="1">
        <f t="shared" si="39"/>
        <v>147</v>
      </c>
    </row>
    <row r="269" spans="1:40" x14ac:dyDescent="0.3">
      <c r="A269" s="1" t="s">
        <v>30</v>
      </c>
      <c r="B269" s="1">
        <v>2020</v>
      </c>
      <c r="C269" s="1" t="s">
        <v>40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s="1" t="s">
        <v>32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  <c r="AG269" s="1">
        <f t="shared" si="32"/>
        <v>1951</v>
      </c>
      <c r="AH269" s="1">
        <f t="shared" si="33"/>
        <v>182.4</v>
      </c>
      <c r="AI269" s="1">
        <f t="shared" si="34"/>
        <v>458.79999999999995</v>
      </c>
      <c r="AJ269" s="1">
        <f t="shared" si="35"/>
        <v>296.60000000000002</v>
      </c>
      <c r="AK269" s="1">
        <f t="shared" si="36"/>
        <v>471.2</v>
      </c>
      <c r="AL269" s="1">
        <f t="shared" si="37"/>
        <v>141.4</v>
      </c>
      <c r="AM269" s="1">
        <f t="shared" si="38"/>
        <v>153.19999999999999</v>
      </c>
      <c r="AN269" s="1">
        <f t="shared" si="39"/>
        <v>151.69999999999999</v>
      </c>
    </row>
    <row r="270" spans="1:40" x14ac:dyDescent="0.3">
      <c r="A270" s="1" t="s">
        <v>33</v>
      </c>
      <c r="B270" s="1">
        <v>2020</v>
      </c>
      <c r="C270" s="1" t="s">
        <v>40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 s="1">
        <v>154.69999999999999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  <c r="AG270" s="1">
        <f t="shared" si="32"/>
        <v>1994.9999999999998</v>
      </c>
      <c r="AH270" s="1">
        <f t="shared" si="33"/>
        <v>186.7</v>
      </c>
      <c r="AI270" s="1">
        <f t="shared" si="34"/>
        <v>432.9</v>
      </c>
      <c r="AJ270" s="1">
        <f t="shared" si="35"/>
        <v>432.19999999999993</v>
      </c>
      <c r="AK270" s="1">
        <f t="shared" si="36"/>
        <v>452.8</v>
      </c>
      <c r="AL270" s="1">
        <f t="shared" si="37"/>
        <v>129.30000000000001</v>
      </c>
      <c r="AM270" s="1">
        <f t="shared" si="38"/>
        <v>144.5</v>
      </c>
      <c r="AN270" s="1">
        <f t="shared" si="39"/>
        <v>142</v>
      </c>
    </row>
    <row r="271" spans="1:40" x14ac:dyDescent="0.3">
      <c r="A271" s="1" t="s">
        <v>34</v>
      </c>
      <c r="B271" s="1">
        <v>2020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154.69999999999999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  <c r="AG271" s="1">
        <f t="shared" si="32"/>
        <v>1966.8000000000002</v>
      </c>
      <c r="AH271" s="1">
        <f t="shared" si="33"/>
        <v>183.5</v>
      </c>
      <c r="AI271" s="1">
        <f t="shared" si="34"/>
        <v>448.29999999999995</v>
      </c>
      <c r="AJ271" s="1">
        <f t="shared" si="35"/>
        <v>443</v>
      </c>
      <c r="AK271" s="1">
        <f t="shared" si="36"/>
        <v>462.4</v>
      </c>
      <c r="AL271" s="1">
        <f t="shared" si="37"/>
        <v>135</v>
      </c>
      <c r="AM271" s="1">
        <f t="shared" si="38"/>
        <v>148.30000000000001</v>
      </c>
      <c r="AN271" s="1">
        <f t="shared" si="39"/>
        <v>147</v>
      </c>
    </row>
    <row r="272" spans="1:40" x14ac:dyDescent="0.3">
      <c r="A272" s="1" t="s">
        <v>30</v>
      </c>
      <c r="B272" s="1">
        <v>2020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s="1" t="s">
        <v>32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  <c r="AG272" s="1">
        <f t="shared" si="32"/>
        <v>1978.6</v>
      </c>
      <c r="AH272" s="1">
        <f t="shared" si="33"/>
        <v>180.9</v>
      </c>
      <c r="AI272" s="1">
        <f t="shared" si="34"/>
        <v>458.7</v>
      </c>
      <c r="AJ272" s="1">
        <f t="shared" si="35"/>
        <v>297.70000000000005</v>
      </c>
      <c r="AK272" s="1">
        <f t="shared" si="36"/>
        <v>475.1</v>
      </c>
      <c r="AL272" s="1">
        <f t="shared" si="37"/>
        <v>143.6</v>
      </c>
      <c r="AM272" s="1">
        <f t="shared" si="38"/>
        <v>152.19999999999999</v>
      </c>
      <c r="AN272" s="1">
        <f t="shared" si="39"/>
        <v>153</v>
      </c>
    </row>
    <row r="273" spans="1:40" x14ac:dyDescent="0.3">
      <c r="A273" s="1" t="s">
        <v>33</v>
      </c>
      <c r="B273" s="1">
        <v>2020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 s="1">
        <v>155.5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  <c r="AG273" s="1">
        <f t="shared" si="32"/>
        <v>2024.8999999999999</v>
      </c>
      <c r="AH273" s="1">
        <f t="shared" si="33"/>
        <v>187.2</v>
      </c>
      <c r="AI273" s="1">
        <f t="shared" si="34"/>
        <v>433</v>
      </c>
      <c r="AJ273" s="1">
        <f t="shared" si="35"/>
        <v>438.3</v>
      </c>
      <c r="AK273" s="1">
        <f t="shared" si="36"/>
        <v>459.4</v>
      </c>
      <c r="AL273" s="1">
        <f t="shared" si="37"/>
        <v>133.9</v>
      </c>
      <c r="AM273" s="1">
        <f t="shared" si="38"/>
        <v>141.19999999999999</v>
      </c>
      <c r="AN273" s="1">
        <f t="shared" si="39"/>
        <v>144.80000000000001</v>
      </c>
    </row>
    <row r="274" spans="1:40" x14ac:dyDescent="0.3">
      <c r="A274" s="1" t="s">
        <v>34</v>
      </c>
      <c r="B274" s="1">
        <v>2020</v>
      </c>
      <c r="C274" s="1" t="s">
        <v>41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 s="1">
        <v>155.5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  <c r="AG274" s="1">
        <f t="shared" si="32"/>
        <v>1995.1999999999998</v>
      </c>
      <c r="AH274" s="1">
        <f t="shared" si="33"/>
        <v>182.6</v>
      </c>
      <c r="AI274" s="1">
        <f t="shared" si="34"/>
        <v>448.2</v>
      </c>
      <c r="AJ274" s="1">
        <f t="shared" si="35"/>
        <v>446.9</v>
      </c>
      <c r="AK274" s="1">
        <f t="shared" si="36"/>
        <v>467.8</v>
      </c>
      <c r="AL274" s="1">
        <f t="shared" si="37"/>
        <v>138.5</v>
      </c>
      <c r="AM274" s="1">
        <f t="shared" si="38"/>
        <v>146</v>
      </c>
      <c r="AN274" s="1">
        <f t="shared" si="39"/>
        <v>149</v>
      </c>
    </row>
    <row r="275" spans="1:40" x14ac:dyDescent="0.3">
      <c r="A275" s="1" t="s">
        <v>30</v>
      </c>
      <c r="B275" s="1">
        <v>2020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  <c r="AG275" s="1">
        <f t="shared" si="32"/>
        <v>1987.3999999999999</v>
      </c>
      <c r="AH275" s="1">
        <f t="shared" si="33"/>
        <v>182.9</v>
      </c>
      <c r="AI275" s="1">
        <f t="shared" si="34"/>
        <v>459.9</v>
      </c>
      <c r="AJ275" s="1">
        <f t="shared" si="35"/>
        <v>298</v>
      </c>
      <c r="AK275" s="1">
        <f t="shared" si="36"/>
        <v>477.6</v>
      </c>
      <c r="AL275" s="1">
        <f t="shared" si="37"/>
        <v>144.6</v>
      </c>
      <c r="AM275" s="1">
        <f t="shared" si="38"/>
        <v>152.80000000000001</v>
      </c>
      <c r="AN275" s="1">
        <f t="shared" si="39"/>
        <v>153.69999999999999</v>
      </c>
    </row>
    <row r="276" spans="1:40" x14ac:dyDescent="0.3">
      <c r="A276" s="1" t="s">
        <v>33</v>
      </c>
      <c r="B276" s="1">
        <v>2020</v>
      </c>
      <c r="C276" s="1" t="s">
        <v>42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 s="1">
        <v>156.30000000000001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  <c r="AG276" s="1">
        <f t="shared" si="32"/>
        <v>2041.6000000000001</v>
      </c>
      <c r="AH276" s="1">
        <f t="shared" si="33"/>
        <v>188.7</v>
      </c>
      <c r="AI276" s="1">
        <f t="shared" si="34"/>
        <v>434.6</v>
      </c>
      <c r="AJ276" s="1">
        <f t="shared" si="35"/>
        <v>438.9</v>
      </c>
      <c r="AK276" s="1">
        <f t="shared" si="36"/>
        <v>464.7</v>
      </c>
      <c r="AL276" s="1">
        <f t="shared" si="37"/>
        <v>135.1</v>
      </c>
      <c r="AM276" s="1">
        <f t="shared" si="38"/>
        <v>141.80000000000001</v>
      </c>
      <c r="AN276" s="1">
        <f t="shared" si="39"/>
        <v>146</v>
      </c>
    </row>
    <row r="277" spans="1:40" x14ac:dyDescent="0.3">
      <c r="A277" s="1" t="s">
        <v>34</v>
      </c>
      <c r="B277" s="1">
        <v>2020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 s="1">
        <v>156.30000000000001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  <c r="AG277" s="1">
        <f t="shared" si="32"/>
        <v>2007</v>
      </c>
      <c r="AH277" s="1">
        <f t="shared" si="33"/>
        <v>184.4</v>
      </c>
      <c r="AI277" s="1">
        <f t="shared" si="34"/>
        <v>449.70000000000005</v>
      </c>
      <c r="AJ277" s="1">
        <f t="shared" si="35"/>
        <v>447.90000000000003</v>
      </c>
      <c r="AK277" s="1">
        <f t="shared" si="36"/>
        <v>471.5</v>
      </c>
      <c r="AL277" s="1">
        <f t="shared" si="37"/>
        <v>139.6</v>
      </c>
      <c r="AM277" s="1">
        <f t="shared" si="38"/>
        <v>146.6</v>
      </c>
      <c r="AN277" s="1">
        <f t="shared" si="39"/>
        <v>150</v>
      </c>
    </row>
    <row r="278" spans="1:40" x14ac:dyDescent="0.3">
      <c r="A278" s="1" t="s">
        <v>30</v>
      </c>
      <c r="B278" s="1">
        <v>2020</v>
      </c>
      <c r="C278" s="1" t="s">
        <v>43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s="1" t="s">
        <v>32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  <c r="AG278" s="1">
        <f t="shared" si="32"/>
        <v>2030.9</v>
      </c>
      <c r="AH278" s="1">
        <f t="shared" si="33"/>
        <v>182.7</v>
      </c>
      <c r="AI278" s="1">
        <f t="shared" si="34"/>
        <v>461.29999999999995</v>
      </c>
      <c r="AJ278" s="1">
        <f t="shared" si="35"/>
        <v>298.8</v>
      </c>
      <c r="AK278" s="1">
        <f t="shared" si="36"/>
        <v>478.2</v>
      </c>
      <c r="AL278" s="1">
        <f t="shared" si="37"/>
        <v>146.4</v>
      </c>
      <c r="AM278" s="1">
        <f t="shared" si="38"/>
        <v>152.4</v>
      </c>
      <c r="AN278" s="1">
        <f t="shared" si="39"/>
        <v>154.30000000000001</v>
      </c>
    </row>
    <row r="279" spans="1:40" x14ac:dyDescent="0.3">
      <c r="A279" s="1" t="s">
        <v>33</v>
      </c>
      <c r="B279" s="1">
        <v>2020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 s="1">
        <v>156.5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  <c r="AG279" s="1">
        <f t="shared" si="32"/>
        <v>2080.1999999999998</v>
      </c>
      <c r="AH279" s="1">
        <f t="shared" si="33"/>
        <v>188.7</v>
      </c>
      <c r="AI279" s="1">
        <f t="shared" si="34"/>
        <v>434.90000000000003</v>
      </c>
      <c r="AJ279" s="1">
        <f t="shared" si="35"/>
        <v>438.70000000000005</v>
      </c>
      <c r="AK279" s="1">
        <f t="shared" si="36"/>
        <v>464.79999999999995</v>
      </c>
      <c r="AL279" s="1">
        <f t="shared" si="37"/>
        <v>135.4</v>
      </c>
      <c r="AM279" s="1">
        <f t="shared" si="38"/>
        <v>142</v>
      </c>
      <c r="AN279" s="1">
        <f t="shared" si="39"/>
        <v>146.19999999999999</v>
      </c>
    </row>
    <row r="280" spans="1:40" x14ac:dyDescent="0.3">
      <c r="A280" s="1" t="s">
        <v>34</v>
      </c>
      <c r="B280" s="1">
        <v>2020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 s="1">
        <v>156.5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  <c r="AG280" s="1">
        <f t="shared" si="32"/>
        <v>2048.6000000000004</v>
      </c>
      <c r="AH280" s="1">
        <f t="shared" si="33"/>
        <v>184.3</v>
      </c>
      <c r="AI280" s="1">
        <f t="shared" si="34"/>
        <v>450.59999999999997</v>
      </c>
      <c r="AJ280" s="1">
        <f t="shared" si="35"/>
        <v>448.3</v>
      </c>
      <c r="AK280" s="1">
        <f t="shared" si="36"/>
        <v>471.8</v>
      </c>
      <c r="AL280" s="1">
        <f t="shared" si="37"/>
        <v>140.6</v>
      </c>
      <c r="AM280" s="1">
        <f t="shared" si="38"/>
        <v>146.5</v>
      </c>
      <c r="AN280" s="1">
        <f t="shared" si="39"/>
        <v>150.4</v>
      </c>
    </row>
    <row r="281" spans="1:40" x14ac:dyDescent="0.3">
      <c r="A281" s="1" t="s">
        <v>30</v>
      </c>
      <c r="B281" s="1">
        <v>2020</v>
      </c>
      <c r="C281" s="1" t="s">
        <v>45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s="1" t="s">
        <v>32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  <c r="AG281" s="1">
        <f t="shared" si="32"/>
        <v>2082.4</v>
      </c>
      <c r="AH281" s="1">
        <f t="shared" si="33"/>
        <v>183.4</v>
      </c>
      <c r="AI281" s="1">
        <f t="shared" si="34"/>
        <v>462.8</v>
      </c>
      <c r="AJ281" s="1">
        <f t="shared" si="35"/>
        <v>300.3</v>
      </c>
      <c r="AK281" s="1">
        <f t="shared" si="36"/>
        <v>478.2</v>
      </c>
      <c r="AL281" s="1">
        <f t="shared" si="37"/>
        <v>146.1</v>
      </c>
      <c r="AM281" s="1">
        <f t="shared" si="38"/>
        <v>153.6</v>
      </c>
      <c r="AN281" s="1">
        <f t="shared" si="39"/>
        <v>154.5</v>
      </c>
    </row>
    <row r="282" spans="1:40" x14ac:dyDescent="0.3">
      <c r="A282" s="1" t="s">
        <v>33</v>
      </c>
      <c r="B282" s="1">
        <v>2020</v>
      </c>
      <c r="C282" s="1" t="s">
        <v>45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 s="1">
        <v>158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  <c r="AG282" s="1">
        <f t="shared" si="32"/>
        <v>2120.6999999999998</v>
      </c>
      <c r="AH282" s="1">
        <f t="shared" si="33"/>
        <v>188.8</v>
      </c>
      <c r="AI282" s="1">
        <f t="shared" si="34"/>
        <v>436.3</v>
      </c>
      <c r="AJ282" s="1">
        <f t="shared" si="35"/>
        <v>440.4</v>
      </c>
      <c r="AK282" s="1">
        <f t="shared" si="36"/>
        <v>466.29999999999995</v>
      </c>
      <c r="AL282" s="1">
        <f t="shared" si="37"/>
        <v>135.19999999999999</v>
      </c>
      <c r="AM282" s="1">
        <f t="shared" si="38"/>
        <v>144.4</v>
      </c>
      <c r="AN282" s="1">
        <f t="shared" si="39"/>
        <v>146.6</v>
      </c>
    </row>
    <row r="283" spans="1:40" x14ac:dyDescent="0.3">
      <c r="A283" s="1" t="s">
        <v>34</v>
      </c>
      <c r="B283" s="1">
        <v>2020</v>
      </c>
      <c r="C283" s="1" t="s">
        <v>45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 s="1">
        <v>158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  <c r="AG283" s="1">
        <f t="shared" si="32"/>
        <v>2095.6</v>
      </c>
      <c r="AH283" s="1">
        <f t="shared" si="33"/>
        <v>184.8</v>
      </c>
      <c r="AI283" s="1">
        <f t="shared" si="34"/>
        <v>452.00000000000006</v>
      </c>
      <c r="AJ283" s="1">
        <f t="shared" si="35"/>
        <v>450.8</v>
      </c>
      <c r="AK283" s="1">
        <f t="shared" si="36"/>
        <v>472.69999999999993</v>
      </c>
      <c r="AL283" s="1">
        <f t="shared" si="37"/>
        <v>140.4</v>
      </c>
      <c r="AM283" s="1">
        <f t="shared" si="38"/>
        <v>148.4</v>
      </c>
      <c r="AN283" s="1">
        <f t="shared" si="39"/>
        <v>150.69999999999999</v>
      </c>
    </row>
    <row r="284" spans="1:40" x14ac:dyDescent="0.3">
      <c r="A284" s="1" t="s">
        <v>30</v>
      </c>
      <c r="B284" s="1">
        <v>2020</v>
      </c>
      <c r="C284" s="1" t="s">
        <v>46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s="1" t="s">
        <v>32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  <c r="AG284" s="1">
        <f t="shared" si="32"/>
        <v>2100.5</v>
      </c>
      <c r="AH284" s="1">
        <f t="shared" si="33"/>
        <v>183.6</v>
      </c>
      <c r="AI284" s="1">
        <f t="shared" si="34"/>
        <v>464.90000000000003</v>
      </c>
      <c r="AJ284" s="1">
        <f t="shared" si="35"/>
        <v>302.10000000000002</v>
      </c>
      <c r="AK284" s="1">
        <f t="shared" si="36"/>
        <v>481.1</v>
      </c>
      <c r="AL284" s="1">
        <f t="shared" si="37"/>
        <v>146.4</v>
      </c>
      <c r="AM284" s="1">
        <f t="shared" si="38"/>
        <v>153.9</v>
      </c>
      <c r="AN284" s="1">
        <f t="shared" si="39"/>
        <v>155.19999999999999</v>
      </c>
    </row>
    <row r="285" spans="1:40" x14ac:dyDescent="0.3">
      <c r="A285" s="1" t="s">
        <v>33</v>
      </c>
      <c r="B285" s="1">
        <v>2020</v>
      </c>
      <c r="C285" s="1" t="s">
        <v>46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  <c r="AG285" s="1">
        <f t="shared" si="32"/>
        <v>2125.4</v>
      </c>
      <c r="AH285" s="1">
        <f t="shared" si="33"/>
        <v>190.2</v>
      </c>
      <c r="AI285" s="1">
        <f t="shared" si="34"/>
        <v>438.20000000000005</v>
      </c>
      <c r="AJ285" s="1">
        <f t="shared" si="35"/>
        <v>441.8</v>
      </c>
      <c r="AK285" s="1">
        <f t="shared" si="36"/>
        <v>467.70000000000005</v>
      </c>
      <c r="AL285" s="1">
        <f t="shared" si="37"/>
        <v>135.5</v>
      </c>
      <c r="AM285" s="1">
        <f t="shared" si="38"/>
        <v>144.30000000000001</v>
      </c>
      <c r="AN285" s="1">
        <f t="shared" si="39"/>
        <v>146.9</v>
      </c>
    </row>
    <row r="286" spans="1:40" x14ac:dyDescent="0.3">
      <c r="A286" s="1" t="s">
        <v>34</v>
      </c>
      <c r="B286" s="1">
        <v>2020</v>
      </c>
      <c r="C286" s="1" t="s">
        <v>46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  <c r="AG286" s="1">
        <f t="shared" si="32"/>
        <v>2109.1</v>
      </c>
      <c r="AH286" s="1">
        <f t="shared" si="33"/>
        <v>185.4</v>
      </c>
      <c r="AI286" s="1">
        <f t="shared" si="34"/>
        <v>454</v>
      </c>
      <c r="AJ286" s="1">
        <f t="shared" si="35"/>
        <v>452.7</v>
      </c>
      <c r="AK286" s="1">
        <f t="shared" si="36"/>
        <v>474.80000000000007</v>
      </c>
      <c r="AL286" s="1">
        <f t="shared" si="37"/>
        <v>140.69999999999999</v>
      </c>
      <c r="AM286" s="1">
        <f t="shared" si="38"/>
        <v>148.5</v>
      </c>
      <c r="AN286" s="1">
        <f t="shared" si="39"/>
        <v>151.19999999999999</v>
      </c>
    </row>
    <row r="287" spans="1:40" x14ac:dyDescent="0.3">
      <c r="A287" s="1" t="s">
        <v>30</v>
      </c>
      <c r="B287" s="1">
        <v>2021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  <c r="AG287" s="1">
        <f t="shared" si="32"/>
        <v>2065.6999999999998</v>
      </c>
      <c r="AH287" s="1">
        <f t="shared" si="33"/>
        <v>184.6</v>
      </c>
      <c r="AI287" s="1">
        <f t="shared" si="34"/>
        <v>466.7</v>
      </c>
      <c r="AJ287" s="1">
        <f t="shared" si="35"/>
        <v>304.8</v>
      </c>
      <c r="AK287" s="1">
        <f t="shared" si="36"/>
        <v>482.2</v>
      </c>
      <c r="AL287" s="1">
        <f t="shared" si="37"/>
        <v>147.5</v>
      </c>
      <c r="AM287" s="1">
        <f t="shared" si="38"/>
        <v>155.1</v>
      </c>
      <c r="AN287" s="1">
        <f t="shared" si="39"/>
        <v>155.9</v>
      </c>
    </row>
    <row r="288" spans="1:40" x14ac:dyDescent="0.3">
      <c r="A288" s="1" t="s">
        <v>33</v>
      </c>
      <c r="B288" s="1">
        <v>2021</v>
      </c>
      <c r="C288" s="1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 s="1">
        <v>157.69999999999999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  <c r="AG288" s="1">
        <f t="shared" si="32"/>
        <v>2097</v>
      </c>
      <c r="AH288" s="1">
        <f t="shared" si="33"/>
        <v>191.8</v>
      </c>
      <c r="AI288" s="1">
        <f t="shared" si="34"/>
        <v>440</v>
      </c>
      <c r="AJ288" s="1">
        <f t="shared" si="35"/>
        <v>446.3</v>
      </c>
      <c r="AK288" s="1">
        <f t="shared" si="36"/>
        <v>467.9</v>
      </c>
      <c r="AL288" s="1">
        <f t="shared" si="37"/>
        <v>136.9</v>
      </c>
      <c r="AM288" s="1">
        <f t="shared" si="38"/>
        <v>145.4</v>
      </c>
      <c r="AN288" s="1">
        <f t="shared" si="39"/>
        <v>147.6</v>
      </c>
    </row>
    <row r="289" spans="1:40" x14ac:dyDescent="0.3">
      <c r="A289" s="1" t="s">
        <v>34</v>
      </c>
      <c r="B289" s="1">
        <v>2021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 s="1">
        <v>157.69999999999999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  <c r="AG289" s="1">
        <f t="shared" si="32"/>
        <v>2076.5</v>
      </c>
      <c r="AH289" s="1">
        <f t="shared" si="33"/>
        <v>186.5</v>
      </c>
      <c r="AI289" s="1">
        <f t="shared" si="34"/>
        <v>455.8</v>
      </c>
      <c r="AJ289" s="1">
        <f t="shared" si="35"/>
        <v>455.6</v>
      </c>
      <c r="AK289" s="1">
        <f t="shared" si="36"/>
        <v>475.3</v>
      </c>
      <c r="AL289" s="1">
        <f t="shared" si="37"/>
        <v>141.9</v>
      </c>
      <c r="AM289" s="1">
        <f t="shared" si="38"/>
        <v>149.6</v>
      </c>
      <c r="AN289" s="1">
        <f t="shared" si="39"/>
        <v>151.9</v>
      </c>
    </row>
    <row r="290" spans="1:40" x14ac:dyDescent="0.3">
      <c r="A290" s="1" t="s">
        <v>30</v>
      </c>
      <c r="B290" s="1">
        <v>2021</v>
      </c>
      <c r="C290" s="1" t="s">
        <v>35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  <c r="AG290" s="1">
        <f t="shared" si="32"/>
        <v>2025.3</v>
      </c>
      <c r="AH290" s="1">
        <f t="shared" si="33"/>
        <v>186.5</v>
      </c>
      <c r="AI290" s="1">
        <f t="shared" si="34"/>
        <v>471.4</v>
      </c>
      <c r="AJ290" s="1">
        <f t="shared" si="35"/>
        <v>309.20000000000005</v>
      </c>
      <c r="AK290" s="1">
        <f t="shared" si="36"/>
        <v>483.09999999999997</v>
      </c>
      <c r="AL290" s="1">
        <f t="shared" si="37"/>
        <v>150.19999999999999</v>
      </c>
      <c r="AM290" s="1">
        <f t="shared" si="38"/>
        <v>157</v>
      </c>
      <c r="AN290" s="1">
        <f t="shared" si="39"/>
        <v>157.19999999999999</v>
      </c>
    </row>
    <row r="291" spans="1:40" x14ac:dyDescent="0.3">
      <c r="A291" s="1" t="s">
        <v>33</v>
      </c>
      <c r="B291" s="1">
        <v>2021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 s="1">
        <v>159.80000000000001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  <c r="AG291" s="1">
        <f t="shared" si="32"/>
        <v>2066</v>
      </c>
      <c r="AH291" s="1">
        <f t="shared" si="33"/>
        <v>193.3</v>
      </c>
      <c r="AI291" s="1">
        <f t="shared" si="34"/>
        <v>444.2</v>
      </c>
      <c r="AJ291" s="1">
        <f t="shared" si="35"/>
        <v>455.4</v>
      </c>
      <c r="AK291" s="1">
        <f t="shared" si="36"/>
        <v>469.59999999999997</v>
      </c>
      <c r="AL291" s="1">
        <f t="shared" si="37"/>
        <v>140.5</v>
      </c>
      <c r="AM291" s="1">
        <f t="shared" si="38"/>
        <v>147.30000000000001</v>
      </c>
      <c r="AN291" s="1">
        <f t="shared" si="39"/>
        <v>149.30000000000001</v>
      </c>
    </row>
    <row r="292" spans="1:40" x14ac:dyDescent="0.3">
      <c r="A292" s="1" t="s">
        <v>34</v>
      </c>
      <c r="B292" s="1">
        <v>2021</v>
      </c>
      <c r="C292" s="1" t="s">
        <v>35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 s="1">
        <v>159.80000000000001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  <c r="AG292" s="1">
        <f t="shared" si="32"/>
        <v>2039.3000000000002</v>
      </c>
      <c r="AH292" s="1">
        <f t="shared" si="33"/>
        <v>188.3</v>
      </c>
      <c r="AI292" s="1">
        <f t="shared" si="34"/>
        <v>460.40000000000003</v>
      </c>
      <c r="AJ292" s="1">
        <f t="shared" si="35"/>
        <v>463.1</v>
      </c>
      <c r="AK292" s="1">
        <f t="shared" si="36"/>
        <v>476.6</v>
      </c>
      <c r="AL292" s="1">
        <f t="shared" si="37"/>
        <v>145.1</v>
      </c>
      <c r="AM292" s="1">
        <f t="shared" si="38"/>
        <v>151.5</v>
      </c>
      <c r="AN292" s="1">
        <f t="shared" si="39"/>
        <v>153.4</v>
      </c>
    </row>
    <row r="293" spans="1:40" x14ac:dyDescent="0.3">
      <c r="A293" s="1" t="s">
        <v>30</v>
      </c>
      <c r="B293" s="1">
        <v>2021</v>
      </c>
      <c r="C293" s="1" t="s">
        <v>36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48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  <c r="AG293" s="1">
        <f t="shared" si="32"/>
        <v>2025.7</v>
      </c>
      <c r="AH293" s="1">
        <f t="shared" si="33"/>
        <v>186.1</v>
      </c>
      <c r="AI293" s="1">
        <f t="shared" si="34"/>
        <v>472.9</v>
      </c>
      <c r="AJ293" s="1">
        <f t="shared" si="35"/>
        <v>310.8</v>
      </c>
      <c r="AK293" s="1">
        <f t="shared" si="36"/>
        <v>481.5</v>
      </c>
      <c r="AL293" s="1">
        <f t="shared" si="37"/>
        <v>151.30000000000001</v>
      </c>
      <c r="AM293" s="1">
        <f t="shared" si="38"/>
        <v>157.80000000000001</v>
      </c>
      <c r="AN293" s="1">
        <f t="shared" si="39"/>
        <v>157.30000000000001</v>
      </c>
    </row>
    <row r="294" spans="1:40" x14ac:dyDescent="0.3">
      <c r="A294" s="1" t="s">
        <v>33</v>
      </c>
      <c r="B294" s="1">
        <v>2021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 s="1">
        <v>159.9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  <c r="AG294" s="1">
        <f t="shared" si="32"/>
        <v>2064.4999999999995</v>
      </c>
      <c r="AH294" s="1">
        <f t="shared" si="33"/>
        <v>193.5</v>
      </c>
      <c r="AI294" s="1">
        <f t="shared" si="34"/>
        <v>446.4</v>
      </c>
      <c r="AJ294" s="1">
        <f t="shared" si="35"/>
        <v>461.90000000000003</v>
      </c>
      <c r="AK294" s="1">
        <f t="shared" si="36"/>
        <v>469.4</v>
      </c>
      <c r="AL294" s="1">
        <f t="shared" si="37"/>
        <v>141.69999999999999</v>
      </c>
      <c r="AM294" s="1">
        <f t="shared" si="38"/>
        <v>148.6</v>
      </c>
      <c r="AN294" s="1">
        <f t="shared" si="39"/>
        <v>150</v>
      </c>
    </row>
    <row r="295" spans="1:40" x14ac:dyDescent="0.3">
      <c r="A295" s="1" t="s">
        <v>34</v>
      </c>
      <c r="B295" s="1">
        <v>2021</v>
      </c>
      <c r="C295" s="1" t="s">
        <v>36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  <c r="AG295" s="1">
        <f t="shared" si="32"/>
        <v>2039.3999999999999</v>
      </c>
      <c r="AH295" s="1">
        <f t="shared" si="33"/>
        <v>188.1</v>
      </c>
      <c r="AI295" s="1">
        <f t="shared" si="34"/>
        <v>462.1</v>
      </c>
      <c r="AJ295" s="1">
        <f t="shared" si="35"/>
        <v>466.59999999999997</v>
      </c>
      <c r="AK295" s="1">
        <f t="shared" si="36"/>
        <v>475.7</v>
      </c>
      <c r="AL295" s="1">
        <f t="shared" si="37"/>
        <v>146.19999999999999</v>
      </c>
      <c r="AM295" s="1">
        <f t="shared" si="38"/>
        <v>152.6</v>
      </c>
      <c r="AN295" s="1">
        <f t="shared" si="39"/>
        <v>153.80000000000001</v>
      </c>
    </row>
    <row r="296" spans="1:40" x14ac:dyDescent="0.3">
      <c r="A296" s="1" t="s">
        <v>30</v>
      </c>
      <c r="B296" s="1">
        <v>2021</v>
      </c>
      <c r="C296" s="1" t="s">
        <v>37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s="1" t="s">
        <v>48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  <c r="AG296" s="1">
        <f t="shared" si="32"/>
        <v>2049.5</v>
      </c>
      <c r="AH296" s="1">
        <f t="shared" si="33"/>
        <v>186.8</v>
      </c>
      <c r="AI296" s="1">
        <f t="shared" si="34"/>
        <v>475.69999999999993</v>
      </c>
      <c r="AJ296" s="1">
        <f t="shared" si="35"/>
        <v>311.5</v>
      </c>
      <c r="AK296" s="1">
        <f t="shared" si="36"/>
        <v>484</v>
      </c>
      <c r="AL296" s="1">
        <f t="shared" si="37"/>
        <v>151.69999999999999</v>
      </c>
      <c r="AM296" s="1">
        <f t="shared" si="38"/>
        <v>158.6</v>
      </c>
      <c r="AN296" s="1">
        <f t="shared" si="39"/>
        <v>158</v>
      </c>
    </row>
    <row r="297" spans="1:40" x14ac:dyDescent="0.3">
      <c r="A297" s="1" t="s">
        <v>33</v>
      </c>
      <c r="B297" s="1">
        <v>2021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  <c r="AG297" s="1">
        <f t="shared" si="32"/>
        <v>2089.6</v>
      </c>
      <c r="AH297" s="1">
        <f t="shared" si="33"/>
        <v>194.4</v>
      </c>
      <c r="AI297" s="1">
        <f t="shared" si="34"/>
        <v>448.6</v>
      </c>
      <c r="AJ297" s="1">
        <f t="shared" si="35"/>
        <v>463.9</v>
      </c>
      <c r="AK297" s="1">
        <f t="shared" si="36"/>
        <v>471.70000000000005</v>
      </c>
      <c r="AL297" s="1">
        <f t="shared" si="37"/>
        <v>142.1</v>
      </c>
      <c r="AM297" s="1">
        <f t="shared" si="38"/>
        <v>149.1</v>
      </c>
      <c r="AN297" s="1">
        <f t="shared" si="39"/>
        <v>150.5</v>
      </c>
    </row>
    <row r="298" spans="1:40" x14ac:dyDescent="0.3">
      <c r="A298" s="1" t="s">
        <v>34</v>
      </c>
      <c r="B298" s="1">
        <v>2021</v>
      </c>
      <c r="C298" s="1" t="s">
        <v>37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 s="1">
        <v>161.4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  <c r="AG298" s="1">
        <f t="shared" si="32"/>
        <v>2064.1</v>
      </c>
      <c r="AH298" s="1">
        <f t="shared" si="33"/>
        <v>188.8</v>
      </c>
      <c r="AI298" s="1">
        <f t="shared" si="34"/>
        <v>464.6</v>
      </c>
      <c r="AJ298" s="1">
        <f t="shared" si="35"/>
        <v>468.8</v>
      </c>
      <c r="AK298" s="1">
        <f t="shared" si="36"/>
        <v>478</v>
      </c>
      <c r="AL298" s="1">
        <f t="shared" si="37"/>
        <v>146.6</v>
      </c>
      <c r="AM298" s="1">
        <f t="shared" si="38"/>
        <v>153.19999999999999</v>
      </c>
      <c r="AN298" s="1">
        <f t="shared" si="39"/>
        <v>154.4</v>
      </c>
    </row>
    <row r="299" spans="1:40" x14ac:dyDescent="0.3">
      <c r="A299" s="1" t="s">
        <v>30</v>
      </c>
      <c r="B299" s="1">
        <v>2021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  <c r="AG299" s="1">
        <f t="shared" si="32"/>
        <v>2095.2999999999997</v>
      </c>
      <c r="AH299" s="1">
        <f t="shared" si="33"/>
        <v>189.6</v>
      </c>
      <c r="AI299" s="1">
        <f t="shared" si="34"/>
        <v>490.4</v>
      </c>
      <c r="AJ299" s="1">
        <f t="shared" si="35"/>
        <v>320.5</v>
      </c>
      <c r="AK299" s="1">
        <f t="shared" si="36"/>
        <v>496</v>
      </c>
      <c r="AL299" s="1">
        <f t="shared" si="37"/>
        <v>153.19999999999999</v>
      </c>
      <c r="AM299" s="1">
        <f t="shared" si="38"/>
        <v>160</v>
      </c>
      <c r="AN299" s="1">
        <f t="shared" si="39"/>
        <v>161.1</v>
      </c>
    </row>
    <row r="300" spans="1:40" x14ac:dyDescent="0.3">
      <c r="A300" s="1" t="s">
        <v>33</v>
      </c>
      <c r="B300" s="1">
        <v>2021</v>
      </c>
      <c r="C300" s="1" t="s">
        <v>38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  <c r="AG300" s="1">
        <f t="shared" si="32"/>
        <v>2124.7000000000003</v>
      </c>
      <c r="AH300" s="1">
        <f t="shared" si="33"/>
        <v>198.2</v>
      </c>
      <c r="AI300" s="1">
        <f t="shared" si="34"/>
        <v>450.79999999999995</v>
      </c>
      <c r="AJ300" s="1">
        <f t="shared" si="35"/>
        <v>467.20000000000005</v>
      </c>
      <c r="AK300" s="1">
        <f t="shared" si="36"/>
        <v>474.5</v>
      </c>
      <c r="AL300" s="1">
        <f t="shared" si="37"/>
        <v>145</v>
      </c>
      <c r="AM300" s="1">
        <f t="shared" si="38"/>
        <v>152.6</v>
      </c>
      <c r="AN300" s="1">
        <f t="shared" si="39"/>
        <v>152.30000000000001</v>
      </c>
    </row>
    <row r="301" spans="1:40" x14ac:dyDescent="0.3">
      <c r="A301" s="1" t="s">
        <v>34</v>
      </c>
      <c r="B301" s="1">
        <v>2021</v>
      </c>
      <c r="C301" s="1" t="s">
        <v>38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  <c r="AG301" s="1">
        <f t="shared" si="32"/>
        <v>2105.7000000000003</v>
      </c>
      <c r="AH301" s="1">
        <f t="shared" si="33"/>
        <v>191.9</v>
      </c>
      <c r="AI301" s="1">
        <f t="shared" si="34"/>
        <v>474.29999999999995</v>
      </c>
      <c r="AJ301" s="1">
        <f t="shared" si="35"/>
        <v>475.7</v>
      </c>
      <c r="AK301" s="1">
        <f t="shared" si="36"/>
        <v>485.6</v>
      </c>
      <c r="AL301" s="1">
        <f t="shared" si="37"/>
        <v>148.9</v>
      </c>
      <c r="AM301" s="1">
        <f t="shared" si="38"/>
        <v>155.80000000000001</v>
      </c>
      <c r="AN301" s="1">
        <f t="shared" si="39"/>
        <v>156.80000000000001</v>
      </c>
    </row>
    <row r="302" spans="1:40" x14ac:dyDescent="0.3">
      <c r="A302" s="1" t="s">
        <v>30</v>
      </c>
      <c r="B302" s="1">
        <v>2021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  <c r="AG302" s="1">
        <f t="shared" si="32"/>
        <v>2122.6</v>
      </c>
      <c r="AH302" s="1">
        <f t="shared" si="33"/>
        <v>189.1</v>
      </c>
      <c r="AI302" s="1">
        <f t="shared" si="34"/>
        <v>489.80000000000007</v>
      </c>
      <c r="AJ302" s="1">
        <f t="shared" si="35"/>
        <v>321.29999999999995</v>
      </c>
      <c r="AK302" s="1">
        <f t="shared" si="36"/>
        <v>495.9</v>
      </c>
      <c r="AL302" s="1">
        <f t="shared" si="37"/>
        <v>154.19999999999999</v>
      </c>
      <c r="AM302" s="1">
        <f t="shared" si="38"/>
        <v>160.4</v>
      </c>
      <c r="AN302" s="1">
        <f t="shared" si="39"/>
        <v>161.5</v>
      </c>
    </row>
    <row r="303" spans="1:40" x14ac:dyDescent="0.3">
      <c r="A303" s="1" t="s">
        <v>33</v>
      </c>
      <c r="B303" s="1">
        <v>2021</v>
      </c>
      <c r="C303" s="1" t="s">
        <v>39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 s="1">
        <v>160.5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  <c r="AG303" s="1">
        <f t="shared" si="32"/>
        <v>2154.1999999999998</v>
      </c>
      <c r="AH303" s="1">
        <f t="shared" si="33"/>
        <v>195.6</v>
      </c>
      <c r="AI303" s="1">
        <f t="shared" si="34"/>
        <v>452.6</v>
      </c>
      <c r="AJ303" s="1">
        <f t="shared" si="35"/>
        <v>466.40000000000003</v>
      </c>
      <c r="AK303" s="1">
        <f t="shared" si="36"/>
        <v>476.9</v>
      </c>
      <c r="AL303" s="1">
        <f t="shared" si="37"/>
        <v>147.5</v>
      </c>
      <c r="AM303" s="1">
        <f t="shared" si="38"/>
        <v>150.69999999999999</v>
      </c>
      <c r="AN303" s="1">
        <f t="shared" si="39"/>
        <v>153.4</v>
      </c>
    </row>
    <row r="304" spans="1:40" x14ac:dyDescent="0.3">
      <c r="A304" s="1" t="s">
        <v>34</v>
      </c>
      <c r="B304" s="1">
        <v>2021</v>
      </c>
      <c r="C304" s="1" t="s">
        <v>39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 s="1">
        <v>160.5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  <c r="AG304" s="1">
        <f t="shared" si="32"/>
        <v>2133.9</v>
      </c>
      <c r="AH304" s="1">
        <f t="shared" si="33"/>
        <v>190.8</v>
      </c>
      <c r="AI304" s="1">
        <f t="shared" si="34"/>
        <v>474.7</v>
      </c>
      <c r="AJ304" s="1">
        <f t="shared" si="35"/>
        <v>475.1</v>
      </c>
      <c r="AK304" s="1">
        <f t="shared" si="36"/>
        <v>486.8</v>
      </c>
      <c r="AL304" s="1">
        <f t="shared" si="37"/>
        <v>150.69999999999999</v>
      </c>
      <c r="AM304" s="1">
        <f t="shared" si="38"/>
        <v>154.9</v>
      </c>
      <c r="AN304" s="1">
        <f t="shared" si="39"/>
        <v>157.6</v>
      </c>
    </row>
    <row r="305" spans="1:40" x14ac:dyDescent="0.3">
      <c r="A305" s="1" t="s">
        <v>30</v>
      </c>
      <c r="B305" s="1">
        <v>2021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  <c r="AG305" s="1">
        <f t="shared" si="32"/>
        <v>2132.4</v>
      </c>
      <c r="AH305" s="1">
        <f t="shared" si="33"/>
        <v>189.7</v>
      </c>
      <c r="AI305" s="1">
        <f t="shared" si="34"/>
        <v>492.40000000000003</v>
      </c>
      <c r="AJ305" s="1">
        <f t="shared" si="35"/>
        <v>322.8</v>
      </c>
      <c r="AK305" s="1">
        <f t="shared" si="36"/>
        <v>498</v>
      </c>
      <c r="AL305" s="1">
        <f t="shared" si="37"/>
        <v>157.1</v>
      </c>
      <c r="AM305" s="1">
        <f t="shared" si="38"/>
        <v>160.69999999999999</v>
      </c>
      <c r="AN305" s="1">
        <f t="shared" si="39"/>
        <v>162.80000000000001</v>
      </c>
    </row>
    <row r="306" spans="1:40" x14ac:dyDescent="0.3">
      <c r="A306" s="1" t="s">
        <v>33</v>
      </c>
      <c r="B306" s="1">
        <v>2021</v>
      </c>
      <c r="C306" s="1" t="s">
        <v>40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  <c r="AG306" s="1">
        <f t="shared" si="32"/>
        <v>2171.8000000000002</v>
      </c>
      <c r="AH306" s="1">
        <f t="shared" si="33"/>
        <v>195.5</v>
      </c>
      <c r="AI306" s="1">
        <f t="shared" si="34"/>
        <v>455.3</v>
      </c>
      <c r="AJ306" s="1">
        <f t="shared" si="35"/>
        <v>469.9</v>
      </c>
      <c r="AK306" s="1">
        <f t="shared" si="36"/>
        <v>481.4</v>
      </c>
      <c r="AL306" s="1">
        <f t="shared" si="37"/>
        <v>149.5</v>
      </c>
      <c r="AM306" s="1">
        <f t="shared" si="38"/>
        <v>151.19999999999999</v>
      </c>
      <c r="AN306" s="1">
        <f t="shared" si="39"/>
        <v>155</v>
      </c>
    </row>
    <row r="307" spans="1:40" x14ac:dyDescent="0.3">
      <c r="A307" s="1" t="s">
        <v>34</v>
      </c>
      <c r="B307" s="1">
        <v>2021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 s="1">
        <v>161.5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  <c r="AG307" s="1">
        <f t="shared" si="32"/>
        <v>2147</v>
      </c>
      <c r="AH307" s="1">
        <f t="shared" si="33"/>
        <v>191.2</v>
      </c>
      <c r="AI307" s="1">
        <f t="shared" si="34"/>
        <v>477.29999999999995</v>
      </c>
      <c r="AJ307" s="1">
        <f t="shared" si="35"/>
        <v>478</v>
      </c>
      <c r="AK307" s="1">
        <f t="shared" si="36"/>
        <v>490.29999999999995</v>
      </c>
      <c r="AL307" s="1">
        <f t="shared" si="37"/>
        <v>153.1</v>
      </c>
      <c r="AM307" s="1">
        <f t="shared" si="38"/>
        <v>155.30000000000001</v>
      </c>
      <c r="AN307" s="1">
        <f t="shared" si="39"/>
        <v>159</v>
      </c>
    </row>
    <row r="308" spans="1:40" x14ac:dyDescent="0.3">
      <c r="A308" s="1" t="s">
        <v>30</v>
      </c>
      <c r="B308" s="1">
        <v>2021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  <c r="AG308" s="1">
        <f t="shared" si="32"/>
        <v>2130.8000000000002</v>
      </c>
      <c r="AH308" s="1">
        <f t="shared" si="33"/>
        <v>190.2</v>
      </c>
      <c r="AI308" s="1">
        <f t="shared" si="34"/>
        <v>495.90000000000003</v>
      </c>
      <c r="AJ308" s="1">
        <f t="shared" si="35"/>
        <v>324</v>
      </c>
      <c r="AK308" s="1">
        <f t="shared" si="36"/>
        <v>498.90000000000003</v>
      </c>
      <c r="AL308" s="1">
        <f t="shared" si="37"/>
        <v>157.69999999999999</v>
      </c>
      <c r="AM308" s="1">
        <f t="shared" si="38"/>
        <v>161.1</v>
      </c>
      <c r="AN308" s="1">
        <f t="shared" si="39"/>
        <v>163.30000000000001</v>
      </c>
    </row>
    <row r="309" spans="1:40" x14ac:dyDescent="0.3">
      <c r="A309" s="1" t="s">
        <v>33</v>
      </c>
      <c r="B309" s="1">
        <v>2021</v>
      </c>
      <c r="C309" s="1" t="s">
        <v>41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 s="1">
        <v>162.1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  <c r="AG309" s="1">
        <f t="shared" si="32"/>
        <v>2157.9</v>
      </c>
      <c r="AH309" s="1">
        <f t="shared" si="33"/>
        <v>196.5</v>
      </c>
      <c r="AI309" s="1">
        <f t="shared" si="34"/>
        <v>460.7</v>
      </c>
      <c r="AJ309" s="1">
        <f t="shared" si="35"/>
        <v>475.99999999999994</v>
      </c>
      <c r="AK309" s="1">
        <f t="shared" si="36"/>
        <v>482.80000000000007</v>
      </c>
      <c r="AL309" s="1">
        <f t="shared" si="37"/>
        <v>150.4</v>
      </c>
      <c r="AM309" s="1">
        <f t="shared" si="38"/>
        <v>153.69999999999999</v>
      </c>
      <c r="AN309" s="1">
        <f t="shared" si="39"/>
        <v>156</v>
      </c>
    </row>
    <row r="310" spans="1:40" x14ac:dyDescent="0.3">
      <c r="A310" s="1" t="s">
        <v>34</v>
      </c>
      <c r="B310" s="1">
        <v>2021</v>
      </c>
      <c r="C310" s="1" t="s">
        <v>41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  <c r="AG310" s="1">
        <f t="shared" si="32"/>
        <v>2142</v>
      </c>
      <c r="AH310" s="1">
        <f t="shared" si="33"/>
        <v>192.1</v>
      </c>
      <c r="AI310" s="1">
        <f t="shared" si="34"/>
        <v>483</v>
      </c>
      <c r="AJ310" s="1">
        <f t="shared" si="35"/>
        <v>482.2</v>
      </c>
      <c r="AK310" s="1">
        <f t="shared" si="36"/>
        <v>492.20000000000005</v>
      </c>
      <c r="AL310" s="1">
        <f t="shared" si="37"/>
        <v>154</v>
      </c>
      <c r="AM310" s="1">
        <f t="shared" si="38"/>
        <v>157.6</v>
      </c>
      <c r="AN310" s="1">
        <f t="shared" si="39"/>
        <v>160</v>
      </c>
    </row>
    <row r="311" spans="1:40" x14ac:dyDescent="0.3">
      <c r="A311" s="1" t="s">
        <v>30</v>
      </c>
      <c r="B311" s="1">
        <v>2021</v>
      </c>
      <c r="C311" s="1" t="s">
        <v>42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  <c r="AG311" s="1">
        <f t="shared" si="32"/>
        <v>2133.6</v>
      </c>
      <c r="AH311" s="1">
        <f t="shared" si="33"/>
        <v>190.5</v>
      </c>
      <c r="AI311" s="1">
        <f t="shared" si="34"/>
        <v>498.4</v>
      </c>
      <c r="AJ311" s="1">
        <f t="shared" si="35"/>
        <v>325</v>
      </c>
      <c r="AK311" s="1">
        <f t="shared" si="36"/>
        <v>500.59999999999997</v>
      </c>
      <c r="AL311" s="1">
        <f t="shared" si="37"/>
        <v>157.80000000000001</v>
      </c>
      <c r="AM311" s="1">
        <f t="shared" si="38"/>
        <v>162.69999999999999</v>
      </c>
      <c r="AN311" s="1">
        <f t="shared" si="39"/>
        <v>163.80000000000001</v>
      </c>
    </row>
    <row r="312" spans="1:40" x14ac:dyDescent="0.3">
      <c r="A312" s="1" t="s">
        <v>33</v>
      </c>
      <c r="B312" s="1">
        <v>2021</v>
      </c>
      <c r="C312" s="1" t="s">
        <v>42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 s="1">
        <v>162.1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  <c r="AG312" s="1">
        <f t="shared" si="32"/>
        <v>2157.9</v>
      </c>
      <c r="AH312" s="1">
        <f t="shared" si="33"/>
        <v>196.5</v>
      </c>
      <c r="AI312" s="1">
        <f t="shared" si="34"/>
        <v>460.79999999999995</v>
      </c>
      <c r="AJ312" s="1">
        <f t="shared" si="35"/>
        <v>476.2</v>
      </c>
      <c r="AK312" s="1">
        <f t="shared" si="36"/>
        <v>482.70000000000005</v>
      </c>
      <c r="AL312" s="1">
        <f t="shared" si="37"/>
        <v>150.5</v>
      </c>
      <c r="AM312" s="1">
        <f t="shared" si="38"/>
        <v>153.9</v>
      </c>
      <c r="AN312" s="1">
        <f t="shared" si="39"/>
        <v>156</v>
      </c>
    </row>
    <row r="313" spans="1:40" x14ac:dyDescent="0.3">
      <c r="A313" s="1" t="s">
        <v>34</v>
      </c>
      <c r="B313" s="1">
        <v>2021</v>
      </c>
      <c r="C313" s="1" t="s">
        <v>42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  <c r="AG313" s="1">
        <f t="shared" si="32"/>
        <v>2142</v>
      </c>
      <c r="AH313" s="1">
        <f t="shared" si="33"/>
        <v>192.1</v>
      </c>
      <c r="AI313" s="1">
        <f t="shared" si="34"/>
        <v>483.2</v>
      </c>
      <c r="AJ313" s="1">
        <f t="shared" si="35"/>
        <v>482.2</v>
      </c>
      <c r="AK313" s="1">
        <f t="shared" si="36"/>
        <v>492.1</v>
      </c>
      <c r="AL313" s="1">
        <f t="shared" si="37"/>
        <v>154</v>
      </c>
      <c r="AM313" s="1">
        <f t="shared" si="38"/>
        <v>157.69999999999999</v>
      </c>
      <c r="AN313" s="1">
        <f t="shared" si="39"/>
        <v>160</v>
      </c>
    </row>
    <row r="314" spans="1:40" x14ac:dyDescent="0.3">
      <c r="A314" s="1" t="s">
        <v>30</v>
      </c>
      <c r="B314" s="1">
        <v>2021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  <c r="AG314" s="1">
        <f t="shared" si="32"/>
        <v>2164.1999999999998</v>
      </c>
      <c r="AH314" s="1">
        <f t="shared" si="33"/>
        <v>191.2</v>
      </c>
      <c r="AI314" s="1">
        <f t="shared" si="34"/>
        <v>502.00000000000006</v>
      </c>
      <c r="AJ314" s="1">
        <f t="shared" si="35"/>
        <v>327.5</v>
      </c>
      <c r="AK314" s="1">
        <f t="shared" si="36"/>
        <v>502.6</v>
      </c>
      <c r="AL314" s="1">
        <f t="shared" si="37"/>
        <v>159.5</v>
      </c>
      <c r="AM314" s="1">
        <f t="shared" si="38"/>
        <v>163.19999999999999</v>
      </c>
      <c r="AN314" s="1">
        <f t="shared" si="39"/>
        <v>164.7</v>
      </c>
    </row>
    <row r="315" spans="1:40" x14ac:dyDescent="0.3">
      <c r="A315" s="1" t="s">
        <v>33</v>
      </c>
      <c r="B315" s="1">
        <v>2021</v>
      </c>
      <c r="C315" s="1" t="s">
        <v>43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 s="1">
        <v>163.6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  <c r="AG315" s="1">
        <f t="shared" si="32"/>
        <v>2198.4000000000005</v>
      </c>
      <c r="AH315" s="1">
        <f t="shared" si="33"/>
        <v>197</v>
      </c>
      <c r="AI315" s="1">
        <f t="shared" si="34"/>
        <v>463.50000000000006</v>
      </c>
      <c r="AJ315" s="1">
        <f t="shared" si="35"/>
        <v>480.09999999999997</v>
      </c>
      <c r="AK315" s="1">
        <f t="shared" si="36"/>
        <v>484.1</v>
      </c>
      <c r="AL315" s="1">
        <f t="shared" si="37"/>
        <v>152.19999999999999</v>
      </c>
      <c r="AM315" s="1">
        <f t="shared" si="38"/>
        <v>155.1</v>
      </c>
      <c r="AN315" s="1">
        <f t="shared" si="39"/>
        <v>157</v>
      </c>
    </row>
    <row r="316" spans="1:40" x14ac:dyDescent="0.3">
      <c r="A316" s="1" t="s">
        <v>34</v>
      </c>
      <c r="B316" s="1">
        <v>2021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  <c r="AG316" s="1">
        <f t="shared" si="32"/>
        <v>2175.5</v>
      </c>
      <c r="AH316" s="1">
        <f t="shared" si="33"/>
        <v>192.7</v>
      </c>
      <c r="AI316" s="1">
        <f t="shared" si="34"/>
        <v>486.3</v>
      </c>
      <c r="AJ316" s="1">
        <f t="shared" si="35"/>
        <v>486.19999999999993</v>
      </c>
      <c r="AK316" s="1">
        <f t="shared" si="36"/>
        <v>493.8</v>
      </c>
      <c r="AL316" s="1">
        <f t="shared" si="37"/>
        <v>155.69999999999999</v>
      </c>
      <c r="AM316" s="1">
        <f t="shared" si="38"/>
        <v>158.6</v>
      </c>
      <c r="AN316" s="1">
        <f t="shared" si="39"/>
        <v>161</v>
      </c>
    </row>
    <row r="317" spans="1:40" x14ac:dyDescent="0.3">
      <c r="A317" s="1" t="s">
        <v>30</v>
      </c>
      <c r="B317" s="1">
        <v>2021</v>
      </c>
      <c r="C317" s="1" t="s">
        <v>45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  <c r="AG317" s="1">
        <f t="shared" si="32"/>
        <v>2182</v>
      </c>
      <c r="AH317" s="1">
        <f t="shared" si="33"/>
        <v>191.4</v>
      </c>
      <c r="AI317" s="1">
        <f t="shared" si="34"/>
        <v>506.2</v>
      </c>
      <c r="AJ317" s="1">
        <f t="shared" si="35"/>
        <v>328.20000000000005</v>
      </c>
      <c r="AK317" s="1">
        <f t="shared" si="36"/>
        <v>505.1</v>
      </c>
      <c r="AL317" s="1">
        <f t="shared" si="37"/>
        <v>158.9</v>
      </c>
      <c r="AM317" s="1">
        <f t="shared" si="38"/>
        <v>163.80000000000001</v>
      </c>
      <c r="AN317" s="1">
        <f t="shared" si="39"/>
        <v>165.2</v>
      </c>
    </row>
    <row r="318" spans="1:40" x14ac:dyDescent="0.3">
      <c r="A318" s="1" t="s">
        <v>33</v>
      </c>
      <c r="B318" s="1">
        <v>2021</v>
      </c>
      <c r="C318" s="1" t="s">
        <v>45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 s="1">
        <v>164.2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  <c r="AG318" s="1">
        <f t="shared" si="32"/>
        <v>2217.8999999999996</v>
      </c>
      <c r="AH318" s="1">
        <f t="shared" si="33"/>
        <v>197</v>
      </c>
      <c r="AI318" s="1">
        <f t="shared" si="34"/>
        <v>467.3</v>
      </c>
      <c r="AJ318" s="1">
        <f t="shared" si="35"/>
        <v>480.99999999999994</v>
      </c>
      <c r="AK318" s="1">
        <f t="shared" si="36"/>
        <v>486.8</v>
      </c>
      <c r="AL318" s="1">
        <f t="shared" si="37"/>
        <v>151.19999999999999</v>
      </c>
      <c r="AM318" s="1">
        <f t="shared" si="38"/>
        <v>156.69999999999999</v>
      </c>
      <c r="AN318" s="1">
        <f t="shared" si="39"/>
        <v>157.30000000000001</v>
      </c>
    </row>
    <row r="319" spans="1:40" x14ac:dyDescent="0.3">
      <c r="A319" s="1" t="s">
        <v>34</v>
      </c>
      <c r="B319" s="1">
        <v>2021</v>
      </c>
      <c r="C319" s="1" t="s">
        <v>45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  <c r="AG319" s="1">
        <f t="shared" si="32"/>
        <v>2194.1</v>
      </c>
      <c r="AH319" s="1">
        <f t="shared" si="33"/>
        <v>192.9</v>
      </c>
      <c r="AI319" s="1">
        <f t="shared" si="34"/>
        <v>490.40000000000003</v>
      </c>
      <c r="AJ319" s="1">
        <f t="shared" si="35"/>
        <v>487.40000000000003</v>
      </c>
      <c r="AK319" s="1">
        <f t="shared" si="36"/>
        <v>496.40000000000003</v>
      </c>
      <c r="AL319" s="1">
        <f t="shared" si="37"/>
        <v>154.80000000000001</v>
      </c>
      <c r="AM319" s="1">
        <f t="shared" si="38"/>
        <v>159.80000000000001</v>
      </c>
      <c r="AN319" s="1">
        <f t="shared" si="39"/>
        <v>161.4</v>
      </c>
    </row>
    <row r="320" spans="1:40" x14ac:dyDescent="0.3">
      <c r="A320" s="1" t="s">
        <v>30</v>
      </c>
      <c r="B320" s="1">
        <v>2021</v>
      </c>
      <c r="C320" s="1" t="s">
        <v>46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  <c r="AG320" s="1">
        <f t="shared" si="32"/>
        <v>2168.1999999999998</v>
      </c>
      <c r="AH320" s="1">
        <f t="shared" si="33"/>
        <v>190.8</v>
      </c>
      <c r="AI320" s="1">
        <f t="shared" si="34"/>
        <v>510.3</v>
      </c>
      <c r="AJ320" s="1">
        <f t="shared" si="35"/>
        <v>329.5</v>
      </c>
      <c r="AK320" s="1">
        <f t="shared" si="36"/>
        <v>506.5</v>
      </c>
      <c r="AL320" s="1">
        <f t="shared" si="37"/>
        <v>160.1</v>
      </c>
      <c r="AM320" s="1">
        <f t="shared" si="38"/>
        <v>164.5</v>
      </c>
      <c r="AN320" s="1">
        <f t="shared" si="39"/>
        <v>166</v>
      </c>
    </row>
    <row r="321" spans="1:40" x14ac:dyDescent="0.3">
      <c r="A321" s="1" t="s">
        <v>33</v>
      </c>
      <c r="B321" s="1">
        <v>2021</v>
      </c>
      <c r="C321" s="1" t="s">
        <v>46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 s="1">
        <v>163.4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  <c r="AG321" s="1">
        <f t="shared" si="32"/>
        <v>2206.3000000000002</v>
      </c>
      <c r="AH321" s="1">
        <f t="shared" si="33"/>
        <v>196.8</v>
      </c>
      <c r="AI321" s="1">
        <f t="shared" si="34"/>
        <v>470.7</v>
      </c>
      <c r="AJ321" s="1">
        <f t="shared" si="35"/>
        <v>481.1</v>
      </c>
      <c r="AK321" s="1">
        <f t="shared" si="36"/>
        <v>488.1</v>
      </c>
      <c r="AL321" s="1">
        <f t="shared" si="37"/>
        <v>151.80000000000001</v>
      </c>
      <c r="AM321" s="1">
        <f t="shared" si="38"/>
        <v>157.6</v>
      </c>
      <c r="AN321" s="1">
        <f t="shared" si="39"/>
        <v>157.80000000000001</v>
      </c>
    </row>
    <row r="322" spans="1:40" x14ac:dyDescent="0.3">
      <c r="A322" s="1" t="s">
        <v>34</v>
      </c>
      <c r="B322" s="1">
        <v>2021</v>
      </c>
      <c r="C322" s="1" t="s">
        <v>46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 s="1">
        <v>163.4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  <c r="AG322" s="1">
        <f t="shared" si="32"/>
        <v>2180.9</v>
      </c>
      <c r="AH322" s="1">
        <f t="shared" si="33"/>
        <v>192.4</v>
      </c>
      <c r="AI322" s="1">
        <f t="shared" si="34"/>
        <v>494.2</v>
      </c>
      <c r="AJ322" s="1">
        <f t="shared" si="35"/>
        <v>487.7</v>
      </c>
      <c r="AK322" s="1">
        <f t="shared" si="36"/>
        <v>497.6</v>
      </c>
      <c r="AL322" s="1">
        <f t="shared" si="37"/>
        <v>155.69999999999999</v>
      </c>
      <c r="AM322" s="1">
        <f t="shared" si="38"/>
        <v>160.6</v>
      </c>
      <c r="AN322" s="1">
        <f t="shared" si="39"/>
        <v>162</v>
      </c>
    </row>
    <row r="323" spans="1:40" x14ac:dyDescent="0.3">
      <c r="A323" s="1" t="s">
        <v>30</v>
      </c>
      <c r="B323" s="1">
        <v>2022</v>
      </c>
      <c r="C323" s="1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  <c r="AG323" s="1">
        <f t="shared" ref="AG323:AG373" si="40">SUM(D323:P323)</f>
        <v>2153</v>
      </c>
      <c r="AH323" s="1">
        <f t="shared" ref="AH323:AH373" si="41">SUM(Q323)</f>
        <v>190.7</v>
      </c>
      <c r="AI323" s="1">
        <f t="shared" ref="AI323:AI373" si="42">SUM(R323:T323)</f>
        <v>515.20000000000005</v>
      </c>
      <c r="AJ323" s="1">
        <f t="shared" ref="AJ323:AJ373" si="43">SUM(U323:W323)</f>
        <v>330.70000000000005</v>
      </c>
      <c r="AK323" s="1">
        <f t="shared" ref="AK323:AK373" si="44">SUM(X323,AA323,AB323)</f>
        <v>507.8</v>
      </c>
      <c r="AL323" s="1">
        <f t="shared" ref="AL323:AL373" si="45">SUM(Y323)</f>
        <v>160.80000000000001</v>
      </c>
      <c r="AM323" s="1">
        <f t="shared" ref="AM323:AM373" si="46">SUM(Z323)</f>
        <v>164.9</v>
      </c>
      <c r="AN323" s="1">
        <f t="shared" ref="AN323:AN373" si="47">SUM(AC323)</f>
        <v>166.6</v>
      </c>
    </row>
    <row r="324" spans="1:40" x14ac:dyDescent="0.3">
      <c r="A324" s="1" t="s">
        <v>33</v>
      </c>
      <c r="B324" s="1">
        <v>2022</v>
      </c>
      <c r="C324" s="1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 s="1">
        <v>164.5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  <c r="AG324" s="1">
        <f t="shared" si="40"/>
        <v>2186.6999999999998</v>
      </c>
      <c r="AH324" s="1">
        <f t="shared" si="41"/>
        <v>196.4</v>
      </c>
      <c r="AI324" s="1">
        <f t="shared" si="42"/>
        <v>475.4</v>
      </c>
      <c r="AJ324" s="1">
        <f t="shared" si="43"/>
        <v>482.90000000000003</v>
      </c>
      <c r="AK324" s="1">
        <f t="shared" si="44"/>
        <v>489.90000000000003</v>
      </c>
      <c r="AL324" s="1">
        <f t="shared" si="45"/>
        <v>152.69999999999999</v>
      </c>
      <c r="AM324" s="1">
        <f t="shared" si="46"/>
        <v>158.4</v>
      </c>
      <c r="AN324" s="1">
        <f t="shared" si="47"/>
        <v>158.6</v>
      </c>
    </row>
    <row r="325" spans="1:40" x14ac:dyDescent="0.3">
      <c r="A325" s="1" t="s">
        <v>34</v>
      </c>
      <c r="B325" s="1">
        <v>2022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  <c r="AG325" s="1">
        <f t="shared" si="40"/>
        <v>2164.1999999999998</v>
      </c>
      <c r="AH325" s="1">
        <f t="shared" si="41"/>
        <v>192.2</v>
      </c>
      <c r="AI325" s="1">
        <f t="shared" si="42"/>
        <v>499.1</v>
      </c>
      <c r="AJ325" s="1">
        <f t="shared" si="43"/>
        <v>489.79999999999995</v>
      </c>
      <c r="AK325" s="1">
        <f t="shared" si="44"/>
        <v>499.1</v>
      </c>
      <c r="AL325" s="1">
        <f t="shared" si="45"/>
        <v>156.5</v>
      </c>
      <c r="AM325" s="1">
        <f t="shared" si="46"/>
        <v>161.19999999999999</v>
      </c>
      <c r="AN325" s="1">
        <f t="shared" si="47"/>
        <v>162.69999999999999</v>
      </c>
    </row>
    <row r="326" spans="1:40" x14ac:dyDescent="0.3">
      <c r="A326" s="1" t="s">
        <v>30</v>
      </c>
      <c r="B326" s="1">
        <v>2022</v>
      </c>
      <c r="C326" s="1" t="s">
        <v>35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  <c r="AG326" s="1">
        <f t="shared" si="40"/>
        <v>2150.4</v>
      </c>
      <c r="AH326" s="1">
        <f t="shared" si="41"/>
        <v>191.5</v>
      </c>
      <c r="AI326" s="1">
        <f t="shared" si="42"/>
        <v>518.79999999999995</v>
      </c>
      <c r="AJ326" s="1">
        <f t="shared" si="43"/>
        <v>333.1</v>
      </c>
      <c r="AK326" s="1">
        <f t="shared" si="44"/>
        <v>510.1</v>
      </c>
      <c r="AL326" s="1">
        <f t="shared" si="45"/>
        <v>161.19999999999999</v>
      </c>
      <c r="AM326" s="1">
        <f t="shared" si="46"/>
        <v>165.5</v>
      </c>
      <c r="AN326" s="1">
        <f t="shared" si="47"/>
        <v>167.3</v>
      </c>
    </row>
    <row r="327" spans="1:40" x14ac:dyDescent="0.3">
      <c r="A327" s="1" t="s">
        <v>33</v>
      </c>
      <c r="B327" s="1">
        <v>2022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  <c r="AG327" s="1">
        <f t="shared" si="40"/>
        <v>2183.5</v>
      </c>
      <c r="AH327" s="1">
        <f t="shared" si="41"/>
        <v>196.5</v>
      </c>
      <c r="AI327" s="1">
        <f t="shared" si="42"/>
        <v>479.5</v>
      </c>
      <c r="AJ327" s="1">
        <f t="shared" si="43"/>
        <v>485.9</v>
      </c>
      <c r="AK327" s="1">
        <f t="shared" si="44"/>
        <v>493.4</v>
      </c>
      <c r="AL327" s="1">
        <f t="shared" si="45"/>
        <v>153.1</v>
      </c>
      <c r="AM327" s="1">
        <f t="shared" si="46"/>
        <v>159.5</v>
      </c>
      <c r="AN327" s="1">
        <f t="shared" si="47"/>
        <v>159.4</v>
      </c>
    </row>
    <row r="328" spans="1:40" x14ac:dyDescent="0.3">
      <c r="A328" s="1" t="s">
        <v>34</v>
      </c>
      <c r="B328" s="1">
        <v>2022</v>
      </c>
      <c r="C328" s="1" t="s">
        <v>35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  <c r="AG328" s="1">
        <f t="shared" si="40"/>
        <v>2161.2000000000003</v>
      </c>
      <c r="AH328" s="1">
        <f t="shared" si="41"/>
        <v>192.8</v>
      </c>
      <c r="AI328" s="1">
        <f t="shared" si="42"/>
        <v>502.80000000000007</v>
      </c>
      <c r="AJ328" s="1">
        <f t="shared" si="43"/>
        <v>493</v>
      </c>
      <c r="AK328" s="1">
        <f t="shared" si="44"/>
        <v>502</v>
      </c>
      <c r="AL328" s="1">
        <f t="shared" si="45"/>
        <v>156.9</v>
      </c>
      <c r="AM328" s="1">
        <f t="shared" si="46"/>
        <v>162.1</v>
      </c>
      <c r="AN328" s="1">
        <f t="shared" si="47"/>
        <v>163.5</v>
      </c>
    </row>
    <row r="329" spans="1:40" x14ac:dyDescent="0.3">
      <c r="A329" s="1" t="s">
        <v>30</v>
      </c>
      <c r="B329" s="1">
        <v>2022</v>
      </c>
      <c r="C329" s="1" t="s">
        <v>36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  <c r="AG329" s="1">
        <f t="shared" si="40"/>
        <v>2179.1000000000004</v>
      </c>
      <c r="AH329" s="1">
        <f t="shared" si="41"/>
        <v>192.3</v>
      </c>
      <c r="AI329" s="1">
        <f t="shared" si="42"/>
        <v>523.70000000000005</v>
      </c>
      <c r="AJ329" s="1">
        <f t="shared" si="43"/>
        <v>335.4</v>
      </c>
      <c r="AK329" s="1">
        <f t="shared" si="44"/>
        <v>514</v>
      </c>
      <c r="AL329" s="1">
        <f t="shared" si="45"/>
        <v>162</v>
      </c>
      <c r="AM329" s="1">
        <f t="shared" si="46"/>
        <v>166.6</v>
      </c>
      <c r="AN329" s="1">
        <f t="shared" si="47"/>
        <v>168.3</v>
      </c>
    </row>
    <row r="330" spans="1:40" x14ac:dyDescent="0.3">
      <c r="A330" s="1" t="s">
        <v>33</v>
      </c>
      <c r="B330" s="1">
        <v>2022</v>
      </c>
      <c r="C330" s="1" t="s">
        <v>36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  <c r="AG330" s="1">
        <f t="shared" si="40"/>
        <v>2196.3000000000002</v>
      </c>
      <c r="AH330" s="1">
        <f t="shared" si="41"/>
        <v>197.5</v>
      </c>
      <c r="AI330" s="1">
        <f t="shared" si="42"/>
        <v>484.6</v>
      </c>
      <c r="AJ330" s="1">
        <f t="shared" si="43"/>
        <v>488.4</v>
      </c>
      <c r="AK330" s="1">
        <f t="shared" si="44"/>
        <v>497.7</v>
      </c>
      <c r="AL330" s="1">
        <f t="shared" si="45"/>
        <v>154.19999999999999</v>
      </c>
      <c r="AM330" s="1">
        <f t="shared" si="46"/>
        <v>160.80000000000001</v>
      </c>
      <c r="AN330" s="1">
        <f t="shared" si="47"/>
        <v>160.6</v>
      </c>
    </row>
    <row r="331" spans="1:40" x14ac:dyDescent="0.3">
      <c r="A331" s="1" t="s">
        <v>34</v>
      </c>
      <c r="B331" s="1">
        <v>2022</v>
      </c>
      <c r="C331" s="1" t="s">
        <v>36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  <c r="AG331" s="1">
        <f t="shared" si="40"/>
        <v>2184.2000000000003</v>
      </c>
      <c r="AH331" s="1">
        <f t="shared" si="41"/>
        <v>193.7</v>
      </c>
      <c r="AI331" s="1">
        <f t="shared" si="42"/>
        <v>507.79999999999995</v>
      </c>
      <c r="AJ331" s="1">
        <f t="shared" si="43"/>
        <v>495.3</v>
      </c>
      <c r="AK331" s="1">
        <f t="shared" si="44"/>
        <v>506.2</v>
      </c>
      <c r="AL331" s="1">
        <f t="shared" si="45"/>
        <v>157.9</v>
      </c>
      <c r="AM331" s="1">
        <f t="shared" si="46"/>
        <v>163.30000000000001</v>
      </c>
      <c r="AN331" s="1">
        <f t="shared" si="47"/>
        <v>164.6</v>
      </c>
    </row>
    <row r="332" spans="1:40" x14ac:dyDescent="0.3">
      <c r="A332" s="1" t="s">
        <v>30</v>
      </c>
      <c r="B332" s="1">
        <v>2022</v>
      </c>
      <c r="C332" s="1" t="s">
        <v>37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  <c r="AG332" s="1">
        <f t="shared" si="40"/>
        <v>2206.6</v>
      </c>
      <c r="AH332" s="1">
        <f t="shared" si="41"/>
        <v>192.8</v>
      </c>
      <c r="AI332" s="1">
        <f t="shared" si="42"/>
        <v>529.70000000000005</v>
      </c>
      <c r="AJ332" s="1">
        <f t="shared" si="43"/>
        <v>341</v>
      </c>
      <c r="AK332" s="1">
        <f t="shared" si="44"/>
        <v>516.9</v>
      </c>
      <c r="AL332" s="1">
        <f t="shared" si="45"/>
        <v>166.2</v>
      </c>
      <c r="AM332" s="1">
        <f t="shared" si="46"/>
        <v>167.2</v>
      </c>
      <c r="AN332" s="1">
        <f t="shared" si="47"/>
        <v>170.2</v>
      </c>
    </row>
    <row r="333" spans="1:40" x14ac:dyDescent="0.3">
      <c r="A333" s="1" t="s">
        <v>33</v>
      </c>
      <c r="B333" s="1">
        <v>2022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  <c r="AG333" s="1">
        <f t="shared" si="40"/>
        <v>2230.4</v>
      </c>
      <c r="AH333" s="1">
        <f t="shared" si="41"/>
        <v>197.1</v>
      </c>
      <c r="AI333" s="1">
        <f t="shared" si="42"/>
        <v>489.2</v>
      </c>
      <c r="AJ333" s="1">
        <f t="shared" si="43"/>
        <v>497.3</v>
      </c>
      <c r="AK333" s="1">
        <f t="shared" si="44"/>
        <v>501.4</v>
      </c>
      <c r="AL333" s="1">
        <f t="shared" si="45"/>
        <v>159.30000000000001</v>
      </c>
      <c r="AM333" s="1">
        <f t="shared" si="46"/>
        <v>162.19999999999999</v>
      </c>
      <c r="AN333" s="1">
        <f t="shared" si="47"/>
        <v>163.1</v>
      </c>
    </row>
    <row r="334" spans="1:40" x14ac:dyDescent="0.3">
      <c r="A334" s="1" t="s">
        <v>34</v>
      </c>
      <c r="B334" s="1">
        <v>2022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  <c r="AG334" s="1">
        <f t="shared" si="40"/>
        <v>2214.3000000000002</v>
      </c>
      <c r="AH334" s="1">
        <f t="shared" si="41"/>
        <v>193.9</v>
      </c>
      <c r="AI334" s="1">
        <f t="shared" si="42"/>
        <v>513.20000000000005</v>
      </c>
      <c r="AJ334" s="1">
        <f t="shared" si="43"/>
        <v>503.2</v>
      </c>
      <c r="AK334" s="1">
        <f t="shared" si="44"/>
        <v>509.7</v>
      </c>
      <c r="AL334" s="1">
        <f t="shared" si="45"/>
        <v>162.6</v>
      </c>
      <c r="AM334" s="1">
        <f t="shared" si="46"/>
        <v>164.4</v>
      </c>
      <c r="AN334" s="1">
        <f t="shared" si="47"/>
        <v>166.8</v>
      </c>
    </row>
    <row r="335" spans="1:40" x14ac:dyDescent="0.3">
      <c r="A335" s="1" t="s">
        <v>30</v>
      </c>
      <c r="B335" s="1">
        <v>2022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  <c r="AG335" s="1">
        <f t="shared" si="40"/>
        <v>2226.8000000000002</v>
      </c>
      <c r="AH335" s="1">
        <f t="shared" si="41"/>
        <v>192.9</v>
      </c>
      <c r="AI335" s="1">
        <f t="shared" si="42"/>
        <v>535.5</v>
      </c>
      <c r="AJ335" s="1">
        <f t="shared" si="43"/>
        <v>344.20000000000005</v>
      </c>
      <c r="AK335" s="1">
        <f t="shared" si="44"/>
        <v>518</v>
      </c>
      <c r="AL335" s="1">
        <f t="shared" si="45"/>
        <v>167.1</v>
      </c>
      <c r="AM335" s="1">
        <f t="shared" si="46"/>
        <v>167.6</v>
      </c>
      <c r="AN335" s="1">
        <f t="shared" si="47"/>
        <v>170.9</v>
      </c>
    </row>
    <row r="336" spans="1:40" x14ac:dyDescent="0.3">
      <c r="A336" s="1" t="s">
        <v>33</v>
      </c>
      <c r="B336" s="1">
        <v>2022</v>
      </c>
      <c r="C336" s="1" t="s">
        <v>38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  <c r="AG336" s="1">
        <f t="shared" si="40"/>
        <v>2262.2000000000003</v>
      </c>
      <c r="AH336" s="1">
        <f t="shared" si="41"/>
        <v>197.5</v>
      </c>
      <c r="AI336" s="1">
        <f t="shared" si="42"/>
        <v>493.7</v>
      </c>
      <c r="AJ336" s="1">
        <f t="shared" si="43"/>
        <v>502.1</v>
      </c>
      <c r="AK336" s="1">
        <f t="shared" si="44"/>
        <v>503.49999999999994</v>
      </c>
      <c r="AL336" s="1">
        <f t="shared" si="45"/>
        <v>159.4</v>
      </c>
      <c r="AM336" s="1">
        <f t="shared" si="46"/>
        <v>163.19999999999999</v>
      </c>
      <c r="AN336" s="1">
        <f t="shared" si="47"/>
        <v>163.80000000000001</v>
      </c>
    </row>
    <row r="337" spans="1:40" x14ac:dyDescent="0.3">
      <c r="A337" s="1" t="s">
        <v>34</v>
      </c>
      <c r="B337" s="1">
        <v>2022</v>
      </c>
      <c r="C337" s="1" t="s">
        <v>38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  <c r="AG337" s="1">
        <f t="shared" si="40"/>
        <v>2238.9000000000005</v>
      </c>
      <c r="AH337" s="1">
        <f t="shared" si="41"/>
        <v>194.1</v>
      </c>
      <c r="AI337" s="1">
        <f t="shared" si="42"/>
        <v>518.6</v>
      </c>
      <c r="AJ337" s="1">
        <f t="shared" si="43"/>
        <v>507.3</v>
      </c>
      <c r="AK337" s="1">
        <f t="shared" si="44"/>
        <v>511.1</v>
      </c>
      <c r="AL337" s="1">
        <f t="shared" si="45"/>
        <v>163</v>
      </c>
      <c r="AM337" s="1">
        <f t="shared" si="46"/>
        <v>165.1</v>
      </c>
      <c r="AN337" s="1">
        <f t="shared" si="47"/>
        <v>167.5</v>
      </c>
    </row>
    <row r="338" spans="1:40" x14ac:dyDescent="0.3">
      <c r="A338" s="1" t="s">
        <v>30</v>
      </c>
      <c r="B338" s="1">
        <v>2022</v>
      </c>
      <c r="C338" s="1" t="s">
        <v>39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  <c r="AG338" s="1">
        <f t="shared" si="40"/>
        <v>2248.3000000000002</v>
      </c>
      <c r="AH338" s="1">
        <f t="shared" si="41"/>
        <v>192.9</v>
      </c>
      <c r="AI338" s="1">
        <f t="shared" si="42"/>
        <v>539.79999999999995</v>
      </c>
      <c r="AJ338" s="1">
        <f t="shared" si="43"/>
        <v>347</v>
      </c>
      <c r="AK338" s="1">
        <f t="shared" si="44"/>
        <v>520.29999999999995</v>
      </c>
      <c r="AL338" s="1">
        <f t="shared" si="45"/>
        <v>165.5</v>
      </c>
      <c r="AM338" s="1">
        <f t="shared" si="46"/>
        <v>168</v>
      </c>
      <c r="AN338" s="1">
        <f t="shared" si="47"/>
        <v>171</v>
      </c>
    </row>
    <row r="339" spans="1:40" x14ac:dyDescent="0.3">
      <c r="A339" s="1" t="s">
        <v>33</v>
      </c>
      <c r="B339" s="1">
        <v>2022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  <c r="AG339" s="1">
        <f t="shared" si="40"/>
        <v>2287.5</v>
      </c>
      <c r="AH339" s="1">
        <f t="shared" si="41"/>
        <v>198.3</v>
      </c>
      <c r="AI339" s="1">
        <f t="shared" si="42"/>
        <v>498.4</v>
      </c>
      <c r="AJ339" s="1">
        <f t="shared" si="43"/>
        <v>503.80000000000007</v>
      </c>
      <c r="AK339" s="1">
        <f t="shared" si="44"/>
        <v>506.59999999999997</v>
      </c>
      <c r="AL339" s="1">
        <f t="shared" si="45"/>
        <v>157.19999999999999</v>
      </c>
      <c r="AM339" s="1">
        <f t="shared" si="46"/>
        <v>164.1</v>
      </c>
      <c r="AN339" s="1">
        <f t="shared" si="47"/>
        <v>163.80000000000001</v>
      </c>
    </row>
    <row r="340" spans="1:40" x14ac:dyDescent="0.3">
      <c r="A340" s="1" t="s">
        <v>34</v>
      </c>
      <c r="B340" s="1">
        <v>2022</v>
      </c>
      <c r="C340" s="1" t="s">
        <v>39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 s="1">
        <v>166.8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  <c r="AG340" s="1">
        <f t="shared" si="40"/>
        <v>2261.9</v>
      </c>
      <c r="AH340" s="1">
        <f t="shared" si="41"/>
        <v>194.3</v>
      </c>
      <c r="AI340" s="1">
        <f t="shared" si="42"/>
        <v>523</v>
      </c>
      <c r="AJ340" s="1">
        <f t="shared" si="43"/>
        <v>509.20000000000005</v>
      </c>
      <c r="AK340" s="1">
        <f t="shared" si="44"/>
        <v>513.79999999999995</v>
      </c>
      <c r="AL340" s="1">
        <f t="shared" si="45"/>
        <v>161.1</v>
      </c>
      <c r="AM340" s="1">
        <f t="shared" si="46"/>
        <v>165.8</v>
      </c>
      <c r="AN340" s="1">
        <f t="shared" si="47"/>
        <v>167.5</v>
      </c>
    </row>
    <row r="341" spans="1:40" x14ac:dyDescent="0.3">
      <c r="A341" s="1" t="s">
        <v>30</v>
      </c>
      <c r="B341" s="1">
        <v>2022</v>
      </c>
      <c r="C341" s="1" t="s">
        <v>40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  <c r="AG341" s="1">
        <f t="shared" si="40"/>
        <v>2252.5</v>
      </c>
      <c r="AH341" s="1">
        <f t="shared" si="41"/>
        <v>193.2</v>
      </c>
      <c r="AI341" s="1">
        <f t="shared" si="42"/>
        <v>544</v>
      </c>
      <c r="AJ341" s="1">
        <f t="shared" si="43"/>
        <v>350.9</v>
      </c>
      <c r="AK341" s="1">
        <f t="shared" si="44"/>
        <v>523.20000000000005</v>
      </c>
      <c r="AL341" s="1">
        <f t="shared" si="45"/>
        <v>166.3</v>
      </c>
      <c r="AM341" s="1">
        <f t="shared" si="46"/>
        <v>168.6</v>
      </c>
      <c r="AN341" s="1">
        <f t="shared" si="47"/>
        <v>171.8</v>
      </c>
    </row>
    <row r="342" spans="1:40" x14ac:dyDescent="0.3">
      <c r="A342" s="1" t="s">
        <v>33</v>
      </c>
      <c r="B342" s="1">
        <v>2022</v>
      </c>
      <c r="C342" s="1" t="s">
        <v>40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  <c r="AG342" s="1">
        <f t="shared" si="40"/>
        <v>2291.6</v>
      </c>
      <c r="AH342" s="1">
        <f t="shared" si="41"/>
        <v>198.6</v>
      </c>
      <c r="AI342" s="1">
        <f t="shared" si="42"/>
        <v>502</v>
      </c>
      <c r="AJ342" s="1">
        <f t="shared" si="43"/>
        <v>510.4</v>
      </c>
      <c r="AK342" s="1">
        <f t="shared" si="44"/>
        <v>510.59999999999997</v>
      </c>
      <c r="AL342" s="1">
        <f t="shared" si="45"/>
        <v>157.4</v>
      </c>
      <c r="AM342" s="1">
        <f t="shared" si="46"/>
        <v>164.6</v>
      </c>
      <c r="AN342" s="1">
        <f t="shared" si="47"/>
        <v>164.7</v>
      </c>
    </row>
    <row r="343" spans="1:40" x14ac:dyDescent="0.3">
      <c r="A343" s="1" t="s">
        <v>34</v>
      </c>
      <c r="B343" s="1">
        <v>2022</v>
      </c>
      <c r="C343" s="1" t="s">
        <v>40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  <c r="AG343" s="1">
        <f t="shared" si="40"/>
        <v>2266.3000000000002</v>
      </c>
      <c r="AH343" s="1">
        <f t="shared" si="41"/>
        <v>194.6</v>
      </c>
      <c r="AI343" s="1">
        <f t="shared" si="42"/>
        <v>526.90000000000009</v>
      </c>
      <c r="AJ343" s="1">
        <f t="shared" si="43"/>
        <v>514.79999999999995</v>
      </c>
      <c r="AK343" s="1">
        <f t="shared" si="44"/>
        <v>517.20000000000005</v>
      </c>
      <c r="AL343" s="1">
        <f t="shared" si="45"/>
        <v>161.6</v>
      </c>
      <c r="AM343" s="1">
        <f t="shared" si="46"/>
        <v>166.3</v>
      </c>
      <c r="AN343" s="1">
        <f t="shared" si="47"/>
        <v>168.4</v>
      </c>
    </row>
    <row r="344" spans="1:40" x14ac:dyDescent="0.3">
      <c r="A344" s="1" t="s">
        <v>30</v>
      </c>
      <c r="B344" s="1">
        <v>2022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  <c r="AG344" s="1">
        <f t="shared" si="40"/>
        <v>2255.7999999999997</v>
      </c>
      <c r="AH344" s="1">
        <f t="shared" si="41"/>
        <v>193.7</v>
      </c>
      <c r="AI344" s="1">
        <f t="shared" si="42"/>
        <v>547.9</v>
      </c>
      <c r="AJ344" s="1">
        <f t="shared" si="43"/>
        <v>351.4</v>
      </c>
      <c r="AK344" s="1">
        <f t="shared" si="44"/>
        <v>526.20000000000005</v>
      </c>
      <c r="AL344" s="1">
        <f t="shared" si="45"/>
        <v>166.6</v>
      </c>
      <c r="AM344" s="1">
        <f t="shared" si="46"/>
        <v>169.3</v>
      </c>
      <c r="AN344" s="1">
        <f t="shared" si="47"/>
        <v>172.6</v>
      </c>
    </row>
    <row r="345" spans="1:40" x14ac:dyDescent="0.3">
      <c r="A345" s="1" t="s">
        <v>33</v>
      </c>
      <c r="B345" s="1">
        <v>2022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 s="1">
        <v>169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  <c r="AG345" s="1">
        <f t="shared" si="40"/>
        <v>2293.6999999999998</v>
      </c>
      <c r="AH345" s="1">
        <f t="shared" si="41"/>
        <v>198.7</v>
      </c>
      <c r="AI345" s="1">
        <f t="shared" si="42"/>
        <v>505.29999999999995</v>
      </c>
      <c r="AJ345" s="1">
        <f t="shared" si="43"/>
        <v>511.59999999999997</v>
      </c>
      <c r="AK345" s="1">
        <f t="shared" si="44"/>
        <v>513.9</v>
      </c>
      <c r="AL345" s="1">
        <f t="shared" si="45"/>
        <v>157.69999999999999</v>
      </c>
      <c r="AM345" s="1">
        <f t="shared" si="46"/>
        <v>165.1</v>
      </c>
      <c r="AN345" s="1">
        <f t="shared" si="47"/>
        <v>165.4</v>
      </c>
    </row>
    <row r="346" spans="1:40" x14ac:dyDescent="0.3">
      <c r="A346" s="1" t="s">
        <v>34</v>
      </c>
      <c r="B346" s="1">
        <v>2022</v>
      </c>
      <c r="C346" s="1" t="s">
        <v>41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 s="1">
        <v>169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  <c r="AG346" s="1">
        <f t="shared" si="40"/>
        <v>2269.2000000000003</v>
      </c>
      <c r="AH346" s="1">
        <f t="shared" si="41"/>
        <v>195</v>
      </c>
      <c r="AI346" s="1">
        <f t="shared" si="42"/>
        <v>530.70000000000005</v>
      </c>
      <c r="AJ346" s="1">
        <f t="shared" si="43"/>
        <v>516.29999999999995</v>
      </c>
      <c r="AK346" s="1">
        <f t="shared" si="44"/>
        <v>520.29999999999995</v>
      </c>
      <c r="AL346" s="1">
        <f t="shared" si="45"/>
        <v>161.9</v>
      </c>
      <c r="AM346" s="1">
        <f t="shared" si="46"/>
        <v>166.9</v>
      </c>
      <c r="AN346" s="1">
        <f t="shared" si="47"/>
        <v>169.1</v>
      </c>
    </row>
    <row r="347" spans="1:40" x14ac:dyDescent="0.3">
      <c r="A347" s="1" t="s">
        <v>30</v>
      </c>
      <c r="B347" s="1">
        <v>2022</v>
      </c>
      <c r="C347" s="1" t="s">
        <v>42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  <c r="AG347" s="1">
        <f t="shared" si="40"/>
        <v>2267.8000000000002</v>
      </c>
      <c r="AH347" s="1">
        <f t="shared" si="41"/>
        <v>194.5</v>
      </c>
      <c r="AI347" s="1">
        <f t="shared" si="42"/>
        <v>552.5</v>
      </c>
      <c r="AJ347" s="1">
        <f t="shared" si="43"/>
        <v>353.29999999999995</v>
      </c>
      <c r="AK347" s="1">
        <f t="shared" si="44"/>
        <v>527.20000000000005</v>
      </c>
      <c r="AL347" s="1">
        <f t="shared" si="45"/>
        <v>166.9</v>
      </c>
      <c r="AM347" s="1">
        <f t="shared" si="46"/>
        <v>170</v>
      </c>
      <c r="AN347" s="1">
        <f t="shared" si="47"/>
        <v>173.1</v>
      </c>
    </row>
    <row r="348" spans="1:40" x14ac:dyDescent="0.3">
      <c r="A348" s="1" t="s">
        <v>33</v>
      </c>
      <c r="B348" s="1">
        <v>2022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 s="1">
        <v>169.5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  <c r="AG348" s="1">
        <f t="shared" si="40"/>
        <v>2306.4</v>
      </c>
      <c r="AH348" s="1">
        <f t="shared" si="41"/>
        <v>199.7</v>
      </c>
      <c r="AI348" s="1">
        <f t="shared" si="42"/>
        <v>509.7</v>
      </c>
      <c r="AJ348" s="1">
        <f t="shared" si="43"/>
        <v>513.70000000000005</v>
      </c>
      <c r="AK348" s="1">
        <f t="shared" si="44"/>
        <v>515.80000000000007</v>
      </c>
      <c r="AL348" s="1">
        <f t="shared" si="45"/>
        <v>158.19999999999999</v>
      </c>
      <c r="AM348" s="1">
        <f t="shared" si="46"/>
        <v>165.8</v>
      </c>
      <c r="AN348" s="1">
        <f t="shared" si="47"/>
        <v>166.1</v>
      </c>
    </row>
    <row r="349" spans="1:40" x14ac:dyDescent="0.3">
      <c r="A349" s="1" t="s">
        <v>34</v>
      </c>
      <c r="B349" s="1">
        <v>2022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  <c r="AG349" s="1">
        <f t="shared" si="40"/>
        <v>2280.9</v>
      </c>
      <c r="AH349" s="1">
        <f t="shared" si="41"/>
        <v>195.9</v>
      </c>
      <c r="AI349" s="1">
        <f t="shared" si="42"/>
        <v>535.1</v>
      </c>
      <c r="AJ349" s="1">
        <f t="shared" si="43"/>
        <v>518.5</v>
      </c>
      <c r="AK349" s="1">
        <f t="shared" si="44"/>
        <v>521.79999999999995</v>
      </c>
      <c r="AL349" s="1">
        <f t="shared" si="45"/>
        <v>162.30000000000001</v>
      </c>
      <c r="AM349" s="1">
        <f t="shared" si="46"/>
        <v>167.6</v>
      </c>
      <c r="AN349" s="1">
        <f t="shared" si="47"/>
        <v>169.7</v>
      </c>
    </row>
    <row r="350" spans="1:40" x14ac:dyDescent="0.3">
      <c r="A350" s="1" t="s">
        <v>30</v>
      </c>
      <c r="B350" s="1">
        <v>2022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  <c r="AG350" s="1">
        <f t="shared" si="40"/>
        <v>2284.5</v>
      </c>
      <c r="AH350" s="1">
        <f t="shared" si="41"/>
        <v>194.9</v>
      </c>
      <c r="AI350" s="1">
        <f t="shared" si="42"/>
        <v>556.4</v>
      </c>
      <c r="AJ350" s="1">
        <f t="shared" si="43"/>
        <v>355.20000000000005</v>
      </c>
      <c r="AK350" s="1">
        <f t="shared" si="44"/>
        <v>529.70000000000005</v>
      </c>
      <c r="AL350" s="1">
        <f t="shared" si="45"/>
        <v>167.4</v>
      </c>
      <c r="AM350" s="1">
        <f t="shared" si="46"/>
        <v>170.6</v>
      </c>
      <c r="AN350" s="1">
        <f t="shared" si="47"/>
        <v>173.9</v>
      </c>
    </row>
    <row r="351" spans="1:40" x14ac:dyDescent="0.3">
      <c r="A351" s="1" t="s">
        <v>33</v>
      </c>
      <c r="B351" s="1">
        <v>2022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  <c r="AG351" s="1">
        <f t="shared" si="40"/>
        <v>2322.3000000000002</v>
      </c>
      <c r="AH351" s="1">
        <f t="shared" si="41"/>
        <v>200.1</v>
      </c>
      <c r="AI351" s="1">
        <f t="shared" si="42"/>
        <v>511.70000000000005</v>
      </c>
      <c r="AJ351" s="1">
        <f t="shared" si="43"/>
        <v>517.20000000000005</v>
      </c>
      <c r="AK351" s="1">
        <f t="shared" si="44"/>
        <v>518.20000000000005</v>
      </c>
      <c r="AL351" s="1">
        <f t="shared" si="45"/>
        <v>158.80000000000001</v>
      </c>
      <c r="AM351" s="1">
        <f t="shared" si="46"/>
        <v>166.3</v>
      </c>
      <c r="AN351" s="1">
        <f t="shared" si="47"/>
        <v>166.8</v>
      </c>
    </row>
    <row r="352" spans="1:40" x14ac:dyDescent="0.3">
      <c r="A352" s="1" t="s">
        <v>34</v>
      </c>
      <c r="B352" s="1">
        <v>2022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  <c r="AG352" s="1">
        <f t="shared" si="40"/>
        <v>2297.3000000000002</v>
      </c>
      <c r="AH352" s="1">
        <f t="shared" si="41"/>
        <v>196.3</v>
      </c>
      <c r="AI352" s="1">
        <f t="shared" si="42"/>
        <v>538.20000000000005</v>
      </c>
      <c r="AJ352" s="1">
        <f t="shared" si="43"/>
        <v>522.1</v>
      </c>
      <c r="AK352" s="1">
        <f t="shared" si="44"/>
        <v>524.20000000000005</v>
      </c>
      <c r="AL352" s="1">
        <f t="shared" si="45"/>
        <v>162.9</v>
      </c>
      <c r="AM352" s="1">
        <f t="shared" si="46"/>
        <v>168.2</v>
      </c>
      <c r="AN352" s="1">
        <f t="shared" si="47"/>
        <v>170.5</v>
      </c>
    </row>
    <row r="353" spans="1:40" x14ac:dyDescent="0.3">
      <c r="A353" s="1" t="s">
        <v>30</v>
      </c>
      <c r="B353" s="1">
        <v>2022</v>
      </c>
      <c r="C353" s="1" t="s">
        <v>45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  <c r="AG353" s="1">
        <f t="shared" si="40"/>
        <v>2287.6999999999998</v>
      </c>
      <c r="AH353" s="1">
        <f t="shared" si="41"/>
        <v>195.5</v>
      </c>
      <c r="AI353" s="1">
        <f t="shared" si="42"/>
        <v>559.29999999999995</v>
      </c>
      <c r="AJ353" s="1">
        <f t="shared" si="43"/>
        <v>357.4</v>
      </c>
      <c r="AK353" s="1">
        <f t="shared" si="44"/>
        <v>532.6</v>
      </c>
      <c r="AL353" s="1">
        <f t="shared" si="45"/>
        <v>167.5</v>
      </c>
      <c r="AM353" s="1">
        <f t="shared" si="46"/>
        <v>170.8</v>
      </c>
      <c r="AN353" s="1">
        <f t="shared" si="47"/>
        <v>174.6</v>
      </c>
    </row>
    <row r="354" spans="1:40" x14ac:dyDescent="0.3">
      <c r="A354" s="1" t="s">
        <v>33</v>
      </c>
      <c r="B354" s="1">
        <v>2022</v>
      </c>
      <c r="C354" s="1" t="s">
        <v>45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  <c r="AG354" s="1">
        <f t="shared" si="40"/>
        <v>2314.4</v>
      </c>
      <c r="AH354" s="1">
        <f t="shared" si="41"/>
        <v>200.6</v>
      </c>
      <c r="AI354" s="1">
        <f t="shared" si="42"/>
        <v>514.9</v>
      </c>
      <c r="AJ354" s="1">
        <f t="shared" si="43"/>
        <v>519</v>
      </c>
      <c r="AK354" s="1">
        <f t="shared" si="44"/>
        <v>521.1</v>
      </c>
      <c r="AL354" s="1">
        <f t="shared" si="45"/>
        <v>158.9</v>
      </c>
      <c r="AM354" s="1">
        <f t="shared" si="46"/>
        <v>166.7</v>
      </c>
      <c r="AN354" s="1">
        <f t="shared" si="47"/>
        <v>167.4</v>
      </c>
    </row>
    <row r="355" spans="1:40" x14ac:dyDescent="0.3">
      <c r="A355" s="1" t="s">
        <v>34</v>
      </c>
      <c r="B355" s="1">
        <v>2022</v>
      </c>
      <c r="C355" s="1" t="s">
        <v>45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  <c r="AG355" s="1">
        <f t="shared" si="40"/>
        <v>2296.8000000000002</v>
      </c>
      <c r="AH355" s="1">
        <f t="shared" si="41"/>
        <v>196.9</v>
      </c>
      <c r="AI355" s="1">
        <f t="shared" si="42"/>
        <v>541.4</v>
      </c>
      <c r="AJ355" s="1">
        <f t="shared" si="43"/>
        <v>524.5</v>
      </c>
      <c r="AK355" s="1">
        <f t="shared" si="44"/>
        <v>527.1</v>
      </c>
      <c r="AL355" s="1">
        <f t="shared" si="45"/>
        <v>163</v>
      </c>
      <c r="AM355" s="1">
        <f t="shared" si="46"/>
        <v>168.5</v>
      </c>
      <c r="AN355" s="1">
        <f t="shared" si="47"/>
        <v>171.1</v>
      </c>
    </row>
    <row r="356" spans="1:40" x14ac:dyDescent="0.3">
      <c r="A356" s="1" t="s">
        <v>30</v>
      </c>
      <c r="B356" s="1">
        <v>2022</v>
      </c>
      <c r="C356" s="1" t="s">
        <v>46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  <c r="AG356" s="1">
        <f t="shared" si="40"/>
        <v>2277.1</v>
      </c>
      <c r="AH356" s="1">
        <f t="shared" si="41"/>
        <v>195.9</v>
      </c>
      <c r="AI356" s="1">
        <f t="shared" si="42"/>
        <v>561.79999999999995</v>
      </c>
      <c r="AJ356" s="1">
        <f t="shared" si="43"/>
        <v>359.20000000000005</v>
      </c>
      <c r="AK356" s="1">
        <f t="shared" si="44"/>
        <v>536.5</v>
      </c>
      <c r="AL356" s="1">
        <f t="shared" si="45"/>
        <v>167.8</v>
      </c>
      <c r="AM356" s="1">
        <f t="shared" si="46"/>
        <v>171.2</v>
      </c>
      <c r="AN356" s="1">
        <f t="shared" si="47"/>
        <v>175.5</v>
      </c>
    </row>
    <row r="357" spans="1:40" x14ac:dyDescent="0.3">
      <c r="A357" s="1" t="s">
        <v>33</v>
      </c>
      <c r="B357" s="1">
        <v>2022</v>
      </c>
      <c r="C357" s="1" t="s">
        <v>46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  <c r="AG357" s="1">
        <f t="shared" si="40"/>
        <v>2295.7999999999997</v>
      </c>
      <c r="AH357" s="1">
        <f t="shared" si="41"/>
        <v>201.1</v>
      </c>
      <c r="AI357" s="1">
        <f t="shared" si="42"/>
        <v>517.9</v>
      </c>
      <c r="AJ357" s="1">
        <f t="shared" si="43"/>
        <v>518.59999999999991</v>
      </c>
      <c r="AK357" s="1">
        <f t="shared" si="44"/>
        <v>525</v>
      </c>
      <c r="AL357" s="1">
        <f t="shared" si="45"/>
        <v>159.4</v>
      </c>
      <c r="AM357" s="1">
        <f t="shared" si="46"/>
        <v>167.1</v>
      </c>
      <c r="AN357" s="1">
        <f t="shared" si="47"/>
        <v>168.2</v>
      </c>
    </row>
    <row r="358" spans="1:40" x14ac:dyDescent="0.3">
      <c r="A358" s="1" t="s">
        <v>34</v>
      </c>
      <c r="B358" s="1">
        <v>2022</v>
      </c>
      <c r="C358" s="1" t="s">
        <v>46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 s="1">
        <v>170.7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  <c r="AG358" s="1">
        <f t="shared" si="40"/>
        <v>2283.4</v>
      </c>
      <c r="AH358" s="1">
        <f t="shared" si="41"/>
        <v>197.3</v>
      </c>
      <c r="AI358" s="1">
        <f t="shared" si="42"/>
        <v>544</v>
      </c>
      <c r="AJ358" s="1">
        <f t="shared" si="43"/>
        <v>524.79999999999995</v>
      </c>
      <c r="AK358" s="1">
        <f t="shared" si="44"/>
        <v>531</v>
      </c>
      <c r="AL358" s="1">
        <f t="shared" si="45"/>
        <v>163.4</v>
      </c>
      <c r="AM358" s="1">
        <f t="shared" si="46"/>
        <v>168.9</v>
      </c>
      <c r="AN358" s="1">
        <f t="shared" si="47"/>
        <v>172</v>
      </c>
    </row>
    <row r="359" spans="1:40" x14ac:dyDescent="0.3">
      <c r="A359" s="1" t="s">
        <v>30</v>
      </c>
      <c r="B359" s="1">
        <v>2023</v>
      </c>
      <c r="C359" s="1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  <c r="AG359" s="1">
        <f t="shared" si="40"/>
        <v>2283.2000000000003</v>
      </c>
      <c r="AH359" s="1">
        <f t="shared" si="41"/>
        <v>196.9</v>
      </c>
      <c r="AI359" s="1">
        <f t="shared" si="42"/>
        <v>563.9</v>
      </c>
      <c r="AJ359" s="1">
        <f t="shared" si="43"/>
        <v>360.4</v>
      </c>
      <c r="AK359" s="1">
        <f t="shared" si="44"/>
        <v>540.9</v>
      </c>
      <c r="AL359" s="1">
        <f t="shared" si="45"/>
        <v>168.2</v>
      </c>
      <c r="AM359" s="1">
        <f t="shared" si="46"/>
        <v>171.8</v>
      </c>
      <c r="AN359" s="1">
        <f t="shared" si="47"/>
        <v>176.5</v>
      </c>
    </row>
    <row r="360" spans="1:40" x14ac:dyDescent="0.3">
      <c r="A360" s="1" t="s">
        <v>33</v>
      </c>
      <c r="B360" s="1">
        <v>2023</v>
      </c>
      <c r="C360" s="1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  <c r="AG360" s="1">
        <f t="shared" si="40"/>
        <v>2310.2000000000003</v>
      </c>
      <c r="AH360" s="1">
        <f t="shared" si="41"/>
        <v>201.6</v>
      </c>
      <c r="AI360" s="1">
        <f t="shared" si="42"/>
        <v>520.6</v>
      </c>
      <c r="AJ360" s="1">
        <f t="shared" si="43"/>
        <v>520.20000000000005</v>
      </c>
      <c r="AK360" s="1">
        <f t="shared" si="44"/>
        <v>529.1</v>
      </c>
      <c r="AL360" s="1">
        <f t="shared" si="45"/>
        <v>159.5</v>
      </c>
      <c r="AM360" s="1">
        <f t="shared" si="46"/>
        <v>167.8</v>
      </c>
      <c r="AN360" s="1">
        <f t="shared" si="47"/>
        <v>168.9</v>
      </c>
    </row>
    <row r="361" spans="1:40" x14ac:dyDescent="0.3">
      <c r="A361" s="1" t="s">
        <v>34</v>
      </c>
      <c r="B361" s="1">
        <v>2023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  <c r="AG361" s="1">
        <f t="shared" si="40"/>
        <v>2292.6999999999998</v>
      </c>
      <c r="AH361" s="1">
        <f t="shared" si="41"/>
        <v>198.2</v>
      </c>
      <c r="AI361" s="1">
        <f t="shared" si="42"/>
        <v>546.29999999999995</v>
      </c>
      <c r="AJ361" s="1">
        <f t="shared" si="43"/>
        <v>527</v>
      </c>
      <c r="AK361" s="1">
        <f t="shared" si="44"/>
        <v>535.20000000000005</v>
      </c>
      <c r="AL361" s="1">
        <f t="shared" si="45"/>
        <v>163.6</v>
      </c>
      <c r="AM361" s="1">
        <f t="shared" si="46"/>
        <v>169.5</v>
      </c>
      <c r="AN361" s="1">
        <f t="shared" si="47"/>
        <v>172.8</v>
      </c>
    </row>
    <row r="362" spans="1:40" x14ac:dyDescent="0.3">
      <c r="A362" s="1" t="s">
        <v>30</v>
      </c>
      <c r="B362" s="1">
        <v>2023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  <c r="AG362" s="1">
        <f t="shared" si="40"/>
        <v>2265.6999999999998</v>
      </c>
      <c r="AH362" s="1">
        <f t="shared" si="41"/>
        <v>198.3</v>
      </c>
      <c r="AI362" s="1">
        <f t="shared" si="42"/>
        <v>566.6</v>
      </c>
      <c r="AJ362" s="1">
        <f t="shared" si="43"/>
        <v>360.2</v>
      </c>
      <c r="AK362" s="1">
        <f t="shared" si="44"/>
        <v>545.79999999999995</v>
      </c>
      <c r="AL362" s="1">
        <f t="shared" si="45"/>
        <v>169</v>
      </c>
      <c r="AM362" s="1">
        <f t="shared" si="46"/>
        <v>172.8</v>
      </c>
      <c r="AN362" s="1">
        <f t="shared" si="47"/>
        <v>177.9</v>
      </c>
    </row>
    <row r="363" spans="1:40" x14ac:dyDescent="0.3">
      <c r="A363" s="1" t="s">
        <v>33</v>
      </c>
      <c r="B363" s="1">
        <v>2023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  <c r="AG363" s="1">
        <f t="shared" si="40"/>
        <v>2303.1999999999998</v>
      </c>
      <c r="AH363" s="1">
        <f t="shared" si="41"/>
        <v>202.7</v>
      </c>
      <c r="AI363" s="1">
        <f t="shared" si="42"/>
        <v>525.5</v>
      </c>
      <c r="AJ363" s="1">
        <f t="shared" si="43"/>
        <v>525.5</v>
      </c>
      <c r="AK363" s="1">
        <f t="shared" si="44"/>
        <v>534.70000000000005</v>
      </c>
      <c r="AL363" s="1">
        <f t="shared" si="45"/>
        <v>159.80000000000001</v>
      </c>
      <c r="AM363" s="1">
        <f t="shared" si="46"/>
        <v>168.4</v>
      </c>
      <c r="AN363" s="1">
        <f t="shared" si="47"/>
        <v>170</v>
      </c>
    </row>
    <row r="364" spans="1:40" x14ac:dyDescent="0.3">
      <c r="A364" s="1" t="s">
        <v>34</v>
      </c>
      <c r="B364" s="1">
        <v>2023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  <c r="AG364" s="1">
        <f t="shared" si="40"/>
        <v>2279.1</v>
      </c>
      <c r="AH364" s="1">
        <f t="shared" si="41"/>
        <v>199.5</v>
      </c>
      <c r="AI364" s="1">
        <f t="shared" si="42"/>
        <v>550</v>
      </c>
      <c r="AJ364" s="1">
        <f t="shared" si="43"/>
        <v>529.79999999999995</v>
      </c>
      <c r="AK364" s="1">
        <f t="shared" si="44"/>
        <v>540.4</v>
      </c>
      <c r="AL364" s="1">
        <f t="shared" si="45"/>
        <v>164.2</v>
      </c>
      <c r="AM364" s="1">
        <f t="shared" si="46"/>
        <v>170.3</v>
      </c>
      <c r="AN364" s="1">
        <f t="shared" si="47"/>
        <v>174.1</v>
      </c>
    </row>
    <row r="365" spans="1:40" x14ac:dyDescent="0.3">
      <c r="A365" s="1" t="s">
        <v>30</v>
      </c>
      <c r="B365" s="1">
        <v>2023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  <c r="AG365" s="1">
        <f t="shared" si="40"/>
        <v>2265.8000000000002</v>
      </c>
      <c r="AH365" s="1">
        <f t="shared" si="41"/>
        <v>198.4</v>
      </c>
      <c r="AI365" s="1">
        <f t="shared" si="42"/>
        <v>566.6</v>
      </c>
      <c r="AJ365" s="1">
        <f t="shared" si="43"/>
        <v>360</v>
      </c>
      <c r="AK365" s="1">
        <f t="shared" si="44"/>
        <v>545.79999999999995</v>
      </c>
      <c r="AL365" s="1">
        <f t="shared" si="45"/>
        <v>169</v>
      </c>
      <c r="AM365" s="1">
        <f t="shared" si="46"/>
        <v>172.8</v>
      </c>
      <c r="AN365" s="1">
        <f t="shared" si="47"/>
        <v>177.9</v>
      </c>
    </row>
    <row r="366" spans="1:40" x14ac:dyDescent="0.3">
      <c r="A366" s="1" t="s">
        <v>33</v>
      </c>
      <c r="B366" s="1">
        <v>2023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  <c r="AG366" s="1">
        <f t="shared" si="40"/>
        <v>2303.4</v>
      </c>
      <c r="AH366" s="1">
        <f t="shared" si="41"/>
        <v>202.7</v>
      </c>
      <c r="AI366" s="1">
        <f t="shared" si="42"/>
        <v>525.4</v>
      </c>
      <c r="AJ366" s="1">
        <f t="shared" si="43"/>
        <v>525.29999999999995</v>
      </c>
      <c r="AK366" s="1">
        <f t="shared" si="44"/>
        <v>534.79999999999995</v>
      </c>
      <c r="AL366" s="1">
        <f t="shared" si="45"/>
        <v>159.80000000000001</v>
      </c>
      <c r="AM366" s="1">
        <f t="shared" si="46"/>
        <v>168.4</v>
      </c>
      <c r="AN366" s="1">
        <f t="shared" si="47"/>
        <v>170</v>
      </c>
    </row>
    <row r="367" spans="1:40" x14ac:dyDescent="0.3">
      <c r="A367" s="1" t="s">
        <v>34</v>
      </c>
      <c r="B367" s="1">
        <v>2023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  <c r="AG367" s="1">
        <f t="shared" si="40"/>
        <v>2279.1999999999998</v>
      </c>
      <c r="AH367" s="1">
        <f t="shared" si="41"/>
        <v>199.5</v>
      </c>
      <c r="AI367" s="1">
        <f t="shared" si="42"/>
        <v>549.9</v>
      </c>
      <c r="AJ367" s="1">
        <f t="shared" si="43"/>
        <v>529.59999999999991</v>
      </c>
      <c r="AK367" s="1">
        <f t="shared" si="44"/>
        <v>540.4</v>
      </c>
      <c r="AL367" s="1">
        <f t="shared" si="45"/>
        <v>164.2</v>
      </c>
      <c r="AM367" s="1">
        <f t="shared" si="46"/>
        <v>170.3</v>
      </c>
      <c r="AN367" s="1">
        <f t="shared" si="47"/>
        <v>174.1</v>
      </c>
    </row>
    <row r="368" spans="1:40" x14ac:dyDescent="0.3">
      <c r="A368" s="1" t="s">
        <v>30</v>
      </c>
      <c r="B368" s="1">
        <v>2023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48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  <c r="AG368" s="1">
        <f t="shared" si="40"/>
        <v>2274.1999999999998</v>
      </c>
      <c r="AH368" s="1">
        <f t="shared" si="41"/>
        <v>199.5</v>
      </c>
      <c r="AI368" s="1">
        <f t="shared" si="42"/>
        <v>568.20000000000005</v>
      </c>
      <c r="AJ368" s="1">
        <f t="shared" si="43"/>
        <v>360.6</v>
      </c>
      <c r="AK368" s="1">
        <f t="shared" si="44"/>
        <v>550.40000000000009</v>
      </c>
      <c r="AL368" s="1">
        <f t="shared" si="45"/>
        <v>169.4</v>
      </c>
      <c r="AM368" s="1">
        <f t="shared" si="46"/>
        <v>173.2</v>
      </c>
      <c r="AN368" s="1">
        <f t="shared" si="47"/>
        <v>178.9</v>
      </c>
    </row>
    <row r="369" spans="1:40" x14ac:dyDescent="0.3">
      <c r="A369" s="1" t="s">
        <v>33</v>
      </c>
      <c r="B369" s="1">
        <v>2023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  <c r="AG369" s="1">
        <f t="shared" si="40"/>
        <v>2317.7000000000003</v>
      </c>
      <c r="AH369" s="1">
        <f t="shared" si="41"/>
        <v>203.5</v>
      </c>
      <c r="AI369" s="1">
        <f t="shared" si="42"/>
        <v>527.6</v>
      </c>
      <c r="AJ369" s="1">
        <f t="shared" si="43"/>
        <v>526.9</v>
      </c>
      <c r="AK369" s="1">
        <f t="shared" si="44"/>
        <v>540.1</v>
      </c>
      <c r="AL369" s="1">
        <f t="shared" si="45"/>
        <v>160.1</v>
      </c>
      <c r="AM369" s="1">
        <f t="shared" si="46"/>
        <v>168.8</v>
      </c>
      <c r="AN369" s="1">
        <f t="shared" si="47"/>
        <v>170.9</v>
      </c>
    </row>
    <row r="370" spans="1:40" x14ac:dyDescent="0.3">
      <c r="A370" s="1" t="s">
        <v>34</v>
      </c>
      <c r="B370" s="1">
        <v>2023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  <c r="AG370" s="1">
        <f t="shared" si="40"/>
        <v>2289.6000000000004</v>
      </c>
      <c r="AH370" s="1">
        <f t="shared" si="41"/>
        <v>200.6</v>
      </c>
      <c r="AI370" s="1">
        <f t="shared" si="42"/>
        <v>551.79999999999995</v>
      </c>
      <c r="AJ370" s="1">
        <f t="shared" si="43"/>
        <v>531.5</v>
      </c>
      <c r="AK370" s="1">
        <f t="shared" si="44"/>
        <v>545.4</v>
      </c>
      <c r="AL370" s="1">
        <f t="shared" si="45"/>
        <v>164.5</v>
      </c>
      <c r="AM370" s="1">
        <f t="shared" si="46"/>
        <v>170.7</v>
      </c>
      <c r="AN370" s="1">
        <f t="shared" si="47"/>
        <v>175</v>
      </c>
    </row>
    <row r="371" spans="1:40" x14ac:dyDescent="0.3">
      <c r="A371" s="1" t="s">
        <v>30</v>
      </c>
      <c r="B371" s="1">
        <v>2023</v>
      </c>
      <c r="C371" s="1" t="s">
        <v>38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48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  <c r="AG371" s="1">
        <f t="shared" si="40"/>
        <v>2290.7000000000007</v>
      </c>
      <c r="AH371" s="1">
        <f t="shared" si="41"/>
        <v>199.9</v>
      </c>
      <c r="AI371" s="1">
        <f t="shared" si="42"/>
        <v>569.90000000000009</v>
      </c>
      <c r="AJ371" s="1">
        <f t="shared" si="43"/>
        <v>362.3</v>
      </c>
      <c r="AK371" s="1">
        <f t="shared" si="44"/>
        <v>553</v>
      </c>
      <c r="AL371" s="1">
        <f t="shared" si="45"/>
        <v>169.7</v>
      </c>
      <c r="AM371" s="1">
        <f t="shared" si="46"/>
        <v>173.8</v>
      </c>
      <c r="AN371" s="1">
        <f t="shared" si="47"/>
        <v>179.5</v>
      </c>
    </row>
    <row r="372" spans="1:40" x14ac:dyDescent="0.3">
      <c r="A372" s="1" t="s">
        <v>33</v>
      </c>
      <c r="B372" s="1">
        <v>2023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  <c r="AG372" s="1">
        <f t="shared" si="40"/>
        <v>2335.1</v>
      </c>
      <c r="AH372" s="1">
        <f t="shared" si="41"/>
        <v>204.2</v>
      </c>
      <c r="AI372" s="1">
        <f t="shared" si="42"/>
        <v>528.70000000000005</v>
      </c>
      <c r="AJ372" s="1">
        <f t="shared" si="43"/>
        <v>529.1</v>
      </c>
      <c r="AK372" s="1">
        <f t="shared" si="44"/>
        <v>542.6</v>
      </c>
      <c r="AL372" s="1">
        <f t="shared" si="45"/>
        <v>160.4</v>
      </c>
      <c r="AM372" s="1">
        <f t="shared" si="46"/>
        <v>169.2</v>
      </c>
      <c r="AN372" s="1">
        <f t="shared" si="47"/>
        <v>171.6</v>
      </c>
    </row>
    <row r="373" spans="1:40" x14ac:dyDescent="0.3">
      <c r="A373" s="1" t="s">
        <v>34</v>
      </c>
      <c r="B373" s="1">
        <v>2023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  <c r="AG373" s="1">
        <f t="shared" si="40"/>
        <v>2306.9</v>
      </c>
      <c r="AH373" s="1">
        <f t="shared" si="41"/>
        <v>201</v>
      </c>
      <c r="AI373" s="1">
        <f t="shared" si="42"/>
        <v>553.20000000000005</v>
      </c>
      <c r="AJ373" s="1">
        <f t="shared" si="43"/>
        <v>533.59999999999991</v>
      </c>
      <c r="AK373" s="1">
        <f t="shared" si="44"/>
        <v>548</v>
      </c>
      <c r="AL373" s="1">
        <f t="shared" si="45"/>
        <v>164.8</v>
      </c>
      <c r="AM373" s="1">
        <f t="shared" si="46"/>
        <v>171.2</v>
      </c>
      <c r="AN373" s="1">
        <f t="shared" si="47"/>
        <v>175.7</v>
      </c>
    </row>
  </sheetData>
  <pageMargins left="0.7" right="0.7" top="0.75" bottom="0.75" header="0.3" footer="0.3"/>
  <pageSetup orientation="portrait" r:id="rId1"/>
  <ignoredErrors>
    <ignoredError sqref="AG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F85F-F84C-4E16-889F-02EAE80160F1}">
  <sheetPr>
    <tabColor rgb="FFFFFF00"/>
  </sheetPr>
  <dimension ref="A1:AM373"/>
  <sheetViews>
    <sheetView topLeftCell="Z1" workbookViewId="0">
      <selection activeCell="AG2" sqref="AG2"/>
    </sheetView>
  </sheetViews>
  <sheetFormatPr defaultRowHeight="14.4" x14ac:dyDescent="0.3"/>
  <cols>
    <col min="1" max="1" width="11.5546875" bestFit="1" customWidth="1"/>
    <col min="2" max="2" width="6.77734375" customWidth="1"/>
    <col min="3" max="3" width="10.5546875" bestFit="1" customWidth="1"/>
    <col min="4" max="4" width="20.88671875" customWidth="1"/>
    <col min="5" max="5" width="14.77734375" customWidth="1"/>
    <col min="6" max="6" width="6" bestFit="1" customWidth="1"/>
    <col min="7" max="7" width="18.33203125" customWidth="1"/>
    <col min="8" max="8" width="13.44140625" customWidth="1"/>
    <col min="9" max="9" width="7.77734375" customWidth="1"/>
    <col min="10" max="10" width="12.6640625" customWidth="1"/>
    <col min="11" max="11" width="20" customWidth="1"/>
    <col min="12" max="12" width="23.88671875" customWidth="1"/>
    <col min="13" max="13" width="8.33203125" customWidth="1"/>
    <col min="14" max="14" width="24.21875" customWidth="1"/>
    <col min="15" max="15" width="33.6640625" customWidth="1"/>
    <col min="16" max="16" width="20.109375" customWidth="1"/>
    <col min="17" max="17" width="27.21875" customWidth="1"/>
    <col min="18" max="18" width="10.109375" customWidth="1"/>
    <col min="19" max="19" width="11.109375" customWidth="1"/>
    <col min="20" max="20" width="22.109375" customWidth="1"/>
    <col min="21" max="21" width="9.88671875" customWidth="1"/>
    <col min="22" max="22" width="14.5546875" customWidth="1"/>
    <col min="23" max="23" width="28.77734375" customWidth="1"/>
    <col min="24" max="24" width="12.77734375" customWidth="1"/>
    <col min="25" max="25" width="28.44140625" customWidth="1"/>
    <col min="26" max="26" width="26.5546875" customWidth="1"/>
    <col min="27" max="27" width="15.5546875" customWidth="1"/>
    <col min="28" max="28" width="24.44140625" customWidth="1"/>
    <col min="29" max="29" width="15.44140625" customWidth="1"/>
    <col min="30" max="30" width="15.109375" customWidth="1"/>
    <col min="31" max="32" width="33.88671875" customWidth="1"/>
    <col min="33" max="33" width="27.5546875" customWidth="1"/>
    <col min="34" max="34" width="28.44140625" customWidth="1"/>
    <col min="35" max="35" width="28.88671875" customWidth="1"/>
    <col min="36" max="36" width="31.6640625" customWidth="1"/>
    <col min="37" max="37" width="26.21875" customWidth="1"/>
    <col min="38" max="38" width="18.33203125" customWidth="1"/>
  </cols>
  <sheetData>
    <row r="1" spans="1:39" x14ac:dyDescent="0.3">
      <c r="A1" s="81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2" t="s">
        <v>8</v>
      </c>
      <c r="J1" s="82" t="s">
        <v>9</v>
      </c>
      <c r="K1" s="82" t="s">
        <v>10</v>
      </c>
      <c r="L1" s="82" t="s">
        <v>11</v>
      </c>
      <c r="M1" s="82" t="s">
        <v>12</v>
      </c>
      <c r="N1" s="82" t="s">
        <v>13</v>
      </c>
      <c r="O1" s="82" t="s">
        <v>14</v>
      </c>
      <c r="P1" s="82" t="s">
        <v>15</v>
      </c>
      <c r="Q1" s="82" t="s">
        <v>16</v>
      </c>
      <c r="R1" s="82" t="s">
        <v>17</v>
      </c>
      <c r="S1" s="82" t="s">
        <v>18</v>
      </c>
      <c r="T1" s="82" t="s">
        <v>19</v>
      </c>
      <c r="U1" s="82" t="s">
        <v>20</v>
      </c>
      <c r="V1" s="82" t="s">
        <v>21</v>
      </c>
      <c r="W1" s="82" t="s">
        <v>22</v>
      </c>
      <c r="X1" s="82" t="s">
        <v>23</v>
      </c>
      <c r="Y1" s="82" t="s">
        <v>24</v>
      </c>
      <c r="Z1" s="82" t="s">
        <v>25</v>
      </c>
      <c r="AA1" s="82" t="s">
        <v>26</v>
      </c>
      <c r="AB1" s="82" t="s">
        <v>27</v>
      </c>
      <c r="AC1" s="82" t="s">
        <v>28</v>
      </c>
      <c r="AD1" s="82" t="s">
        <v>29</v>
      </c>
      <c r="AE1" s="82" t="s">
        <v>49</v>
      </c>
      <c r="AF1" s="82" t="s">
        <v>50</v>
      </c>
      <c r="AG1" s="82" t="s">
        <v>51</v>
      </c>
      <c r="AH1" s="82" t="s">
        <v>52</v>
      </c>
      <c r="AI1" s="82" t="s">
        <v>53</v>
      </c>
      <c r="AJ1" s="82" t="s">
        <v>54</v>
      </c>
      <c r="AK1" s="82" t="s">
        <v>55</v>
      </c>
      <c r="AL1" s="82" t="s">
        <v>56</v>
      </c>
      <c r="AM1" s="83"/>
    </row>
    <row r="2" spans="1:39" x14ac:dyDescent="0.3">
      <c r="A2" s="84" t="s">
        <v>30</v>
      </c>
      <c r="B2" s="85">
        <v>2013</v>
      </c>
      <c r="C2" s="85" t="s">
        <v>31</v>
      </c>
      <c r="D2" s="85">
        <v>107.5</v>
      </c>
      <c r="E2" s="85">
        <v>106.3</v>
      </c>
      <c r="F2" s="85">
        <v>108.1</v>
      </c>
      <c r="G2" s="85">
        <v>104.9</v>
      </c>
      <c r="H2" s="85">
        <v>106.1</v>
      </c>
      <c r="I2" s="85">
        <v>103.9</v>
      </c>
      <c r="J2" s="85">
        <v>101.9</v>
      </c>
      <c r="K2" s="85">
        <v>106.1</v>
      </c>
      <c r="L2" s="85">
        <v>106.8</v>
      </c>
      <c r="M2" s="85">
        <v>103.1</v>
      </c>
      <c r="N2" s="85">
        <v>104.8</v>
      </c>
      <c r="O2" s="85">
        <v>106.7</v>
      </c>
      <c r="P2" s="85">
        <v>105.5</v>
      </c>
      <c r="Q2" s="85">
        <v>105.1</v>
      </c>
      <c r="R2" s="85">
        <v>106.5</v>
      </c>
      <c r="S2" s="85">
        <v>105.8</v>
      </c>
      <c r="T2" s="85">
        <v>106.4</v>
      </c>
      <c r="U2" s="85" t="s">
        <v>32</v>
      </c>
      <c r="V2" s="85">
        <v>105.5</v>
      </c>
      <c r="W2" s="85">
        <v>104.8</v>
      </c>
      <c r="X2" s="85">
        <v>104</v>
      </c>
      <c r="Y2" s="85">
        <v>103.3</v>
      </c>
      <c r="Z2" s="85">
        <v>103.4</v>
      </c>
      <c r="AA2" s="85">
        <v>103.8</v>
      </c>
      <c r="AB2" s="85">
        <v>104.7</v>
      </c>
      <c r="AC2" s="85">
        <v>104</v>
      </c>
      <c r="AD2" s="85">
        <v>105.1</v>
      </c>
      <c r="AE2" s="85">
        <f>SUM(D2:P2)</f>
        <v>1371.6999999999998</v>
      </c>
      <c r="AF2" s="85">
        <f>SUM(Q2)</f>
        <v>105.1</v>
      </c>
      <c r="AG2" s="85">
        <f>SUM(R2:T2)</f>
        <v>318.70000000000005</v>
      </c>
      <c r="AH2" s="85">
        <f>SUM(U2:W2)</f>
        <v>210.3</v>
      </c>
      <c r="AI2" s="85">
        <f>SUM(X2,AA2,AB2)</f>
        <v>312.5</v>
      </c>
      <c r="AJ2" s="85">
        <f>SUM(Y2)</f>
        <v>103.3</v>
      </c>
      <c r="AK2" s="85">
        <f>SUM(Z2)</f>
        <v>103.4</v>
      </c>
      <c r="AL2" s="85">
        <f>SUM(AC2)</f>
        <v>104</v>
      </c>
      <c r="AM2" s="86"/>
    </row>
    <row r="3" spans="1:39" x14ac:dyDescent="0.3">
      <c r="A3" s="87" t="s">
        <v>33</v>
      </c>
      <c r="B3" s="88">
        <v>2013</v>
      </c>
      <c r="C3" s="88" t="s">
        <v>31</v>
      </c>
      <c r="D3" s="88">
        <v>110.5</v>
      </c>
      <c r="E3" s="88">
        <v>109.1</v>
      </c>
      <c r="F3" s="88">
        <v>113</v>
      </c>
      <c r="G3" s="88">
        <v>103.6</v>
      </c>
      <c r="H3" s="88">
        <v>103.4</v>
      </c>
      <c r="I3" s="88">
        <v>102.3</v>
      </c>
      <c r="J3" s="88">
        <v>102.9</v>
      </c>
      <c r="K3" s="88">
        <v>105.8</v>
      </c>
      <c r="L3" s="88">
        <v>105.1</v>
      </c>
      <c r="M3" s="88">
        <v>101.8</v>
      </c>
      <c r="N3" s="88">
        <v>105.1</v>
      </c>
      <c r="O3" s="88">
        <v>107.9</v>
      </c>
      <c r="P3" s="88">
        <v>105.9</v>
      </c>
      <c r="Q3" s="88">
        <v>105.2</v>
      </c>
      <c r="R3" s="88">
        <v>105.9</v>
      </c>
      <c r="S3" s="88">
        <v>105</v>
      </c>
      <c r="T3" s="88">
        <v>105.8</v>
      </c>
      <c r="U3" s="88">
        <v>100.3</v>
      </c>
      <c r="V3" s="88">
        <v>105.4</v>
      </c>
      <c r="W3" s="88">
        <v>104.8</v>
      </c>
      <c r="X3" s="88">
        <v>104.1</v>
      </c>
      <c r="Y3" s="88">
        <v>103.2</v>
      </c>
      <c r="Z3" s="88">
        <v>102.9</v>
      </c>
      <c r="AA3" s="88">
        <v>103.5</v>
      </c>
      <c r="AB3" s="88">
        <v>104.3</v>
      </c>
      <c r="AC3" s="88">
        <v>103.7</v>
      </c>
      <c r="AD3" s="88">
        <v>104</v>
      </c>
      <c r="AE3" s="88">
        <f t="shared" ref="AE3:AE10" si="0">SUM(D3:P3)</f>
        <v>1376.4</v>
      </c>
      <c r="AF3" s="88">
        <f t="shared" ref="AF3:AF66" si="1">SUM(Q3)</f>
        <v>105.2</v>
      </c>
      <c r="AG3" s="88">
        <f t="shared" ref="AG3:AG66" si="2">SUM(R3:T3)</f>
        <v>316.7</v>
      </c>
      <c r="AH3" s="88">
        <f t="shared" ref="AH3:AH66" si="3">SUM(U3:W3)</f>
        <v>310.5</v>
      </c>
      <c r="AI3" s="88">
        <f t="shared" ref="AI3:AI66" si="4">SUM(X3,AA3,AB3)</f>
        <v>311.89999999999998</v>
      </c>
      <c r="AJ3" s="88">
        <f t="shared" ref="AJ3:AJ66" si="5">SUM(Y3)</f>
        <v>103.2</v>
      </c>
      <c r="AK3" s="88">
        <f t="shared" ref="AK3:AK66" si="6">SUM(Z3)</f>
        <v>102.9</v>
      </c>
      <c r="AL3" s="88">
        <f t="shared" ref="AL3:AL66" si="7">SUM(AC3)</f>
        <v>103.7</v>
      </c>
      <c r="AM3" s="89"/>
    </row>
    <row r="4" spans="1:39" x14ac:dyDescent="0.3">
      <c r="A4" s="84" t="s">
        <v>34</v>
      </c>
      <c r="B4" s="85">
        <v>2013</v>
      </c>
      <c r="C4" s="85" t="s">
        <v>31</v>
      </c>
      <c r="D4" s="85">
        <v>108.4</v>
      </c>
      <c r="E4" s="85">
        <v>107.3</v>
      </c>
      <c r="F4" s="85">
        <v>110</v>
      </c>
      <c r="G4" s="85">
        <v>104.4</v>
      </c>
      <c r="H4" s="85">
        <v>105.1</v>
      </c>
      <c r="I4" s="85">
        <v>103.2</v>
      </c>
      <c r="J4" s="85">
        <v>102.2</v>
      </c>
      <c r="K4" s="85">
        <v>106</v>
      </c>
      <c r="L4" s="85">
        <v>106.2</v>
      </c>
      <c r="M4" s="85">
        <v>102.7</v>
      </c>
      <c r="N4" s="85">
        <v>104.9</v>
      </c>
      <c r="O4" s="85">
        <v>107.3</v>
      </c>
      <c r="P4" s="85">
        <v>105.6</v>
      </c>
      <c r="Q4" s="85">
        <v>105.1</v>
      </c>
      <c r="R4" s="85">
        <v>106.3</v>
      </c>
      <c r="S4" s="85">
        <v>105.5</v>
      </c>
      <c r="T4" s="85">
        <v>106.2</v>
      </c>
      <c r="U4" s="85">
        <v>100.3</v>
      </c>
      <c r="V4" s="85">
        <v>105.5</v>
      </c>
      <c r="W4" s="85">
        <v>104.8</v>
      </c>
      <c r="X4" s="85">
        <v>104</v>
      </c>
      <c r="Y4" s="85">
        <v>103.2</v>
      </c>
      <c r="Z4" s="85">
        <v>103.1</v>
      </c>
      <c r="AA4" s="85">
        <v>103.6</v>
      </c>
      <c r="AB4" s="85">
        <v>104.5</v>
      </c>
      <c r="AC4" s="85">
        <v>103.9</v>
      </c>
      <c r="AD4" s="85">
        <v>104.6</v>
      </c>
      <c r="AE4" s="85">
        <f t="shared" si="0"/>
        <v>1373.3000000000002</v>
      </c>
      <c r="AF4" s="85">
        <f t="shared" si="1"/>
        <v>105.1</v>
      </c>
      <c r="AG4" s="85">
        <f t="shared" si="2"/>
        <v>318</v>
      </c>
      <c r="AH4" s="85">
        <f t="shared" si="3"/>
        <v>310.60000000000002</v>
      </c>
      <c r="AI4" s="85">
        <f t="shared" si="4"/>
        <v>312.10000000000002</v>
      </c>
      <c r="AJ4" s="85">
        <f t="shared" si="5"/>
        <v>103.2</v>
      </c>
      <c r="AK4" s="85">
        <f t="shared" si="6"/>
        <v>103.1</v>
      </c>
      <c r="AL4" s="85">
        <f t="shared" si="7"/>
        <v>103.9</v>
      </c>
      <c r="AM4" s="86"/>
    </row>
    <row r="5" spans="1:39" x14ac:dyDescent="0.3">
      <c r="A5" s="87" t="s">
        <v>30</v>
      </c>
      <c r="B5" s="88">
        <v>2013</v>
      </c>
      <c r="C5" s="88" t="s">
        <v>35</v>
      </c>
      <c r="D5" s="88">
        <v>109.2</v>
      </c>
      <c r="E5" s="88">
        <v>108.7</v>
      </c>
      <c r="F5" s="88">
        <v>110.2</v>
      </c>
      <c r="G5" s="88">
        <v>105.4</v>
      </c>
      <c r="H5" s="88">
        <v>106.7</v>
      </c>
      <c r="I5" s="88">
        <v>104</v>
      </c>
      <c r="J5" s="88">
        <v>102.4</v>
      </c>
      <c r="K5" s="88">
        <v>105.9</v>
      </c>
      <c r="L5" s="88">
        <v>105.7</v>
      </c>
      <c r="M5" s="88">
        <v>103.1</v>
      </c>
      <c r="N5" s="88">
        <v>105.1</v>
      </c>
      <c r="O5" s="88">
        <v>107.7</v>
      </c>
      <c r="P5" s="88">
        <v>106.3</v>
      </c>
      <c r="Q5" s="88">
        <v>105.6</v>
      </c>
      <c r="R5" s="88">
        <v>107.1</v>
      </c>
      <c r="S5" s="88">
        <v>106.3</v>
      </c>
      <c r="T5" s="88">
        <v>107</v>
      </c>
      <c r="U5" s="88" t="s">
        <v>32</v>
      </c>
      <c r="V5" s="88">
        <v>106.2</v>
      </c>
      <c r="W5" s="88">
        <v>105.2</v>
      </c>
      <c r="X5" s="88">
        <v>104.4</v>
      </c>
      <c r="Y5" s="88">
        <v>103.9</v>
      </c>
      <c r="Z5" s="88">
        <v>104</v>
      </c>
      <c r="AA5" s="88">
        <v>104.1</v>
      </c>
      <c r="AB5" s="88">
        <v>104.6</v>
      </c>
      <c r="AC5" s="88">
        <v>104.4</v>
      </c>
      <c r="AD5" s="88">
        <v>105.8</v>
      </c>
      <c r="AE5" s="88">
        <f t="shared" si="0"/>
        <v>1380.3999999999999</v>
      </c>
      <c r="AF5" s="88">
        <f t="shared" si="1"/>
        <v>105.6</v>
      </c>
      <c r="AG5" s="88">
        <f t="shared" si="2"/>
        <v>320.39999999999998</v>
      </c>
      <c r="AH5" s="88">
        <f t="shared" si="3"/>
        <v>211.4</v>
      </c>
      <c r="AI5" s="88">
        <f t="shared" si="4"/>
        <v>313.10000000000002</v>
      </c>
      <c r="AJ5" s="88">
        <f t="shared" si="5"/>
        <v>103.9</v>
      </c>
      <c r="AK5" s="88">
        <f t="shared" si="6"/>
        <v>104</v>
      </c>
      <c r="AL5" s="88">
        <f t="shared" si="7"/>
        <v>104.4</v>
      </c>
      <c r="AM5" s="89"/>
    </row>
    <row r="6" spans="1:39" x14ac:dyDescent="0.3">
      <c r="A6" s="84" t="s">
        <v>33</v>
      </c>
      <c r="B6" s="85">
        <v>2013</v>
      </c>
      <c r="C6" s="85" t="s">
        <v>35</v>
      </c>
      <c r="D6" s="85">
        <v>112.9</v>
      </c>
      <c r="E6" s="85">
        <v>112.9</v>
      </c>
      <c r="F6" s="85">
        <v>116.9</v>
      </c>
      <c r="G6" s="85">
        <v>104</v>
      </c>
      <c r="H6" s="85">
        <v>103.5</v>
      </c>
      <c r="I6" s="85">
        <v>103.1</v>
      </c>
      <c r="J6" s="85">
        <v>104.9</v>
      </c>
      <c r="K6" s="85">
        <v>104.1</v>
      </c>
      <c r="L6" s="85">
        <v>103.8</v>
      </c>
      <c r="M6" s="85">
        <v>102.3</v>
      </c>
      <c r="N6" s="85">
        <v>106</v>
      </c>
      <c r="O6" s="85">
        <v>109</v>
      </c>
      <c r="P6" s="85">
        <v>107.2</v>
      </c>
      <c r="Q6" s="85">
        <v>106</v>
      </c>
      <c r="R6" s="85">
        <v>106.6</v>
      </c>
      <c r="S6" s="85">
        <v>105.5</v>
      </c>
      <c r="T6" s="85">
        <v>106.4</v>
      </c>
      <c r="U6" s="85">
        <v>100.4</v>
      </c>
      <c r="V6" s="85">
        <v>105.7</v>
      </c>
      <c r="W6" s="85">
        <v>105.2</v>
      </c>
      <c r="X6" s="85">
        <v>104.7</v>
      </c>
      <c r="Y6" s="85">
        <v>104.4</v>
      </c>
      <c r="Z6" s="85">
        <v>103.3</v>
      </c>
      <c r="AA6" s="85">
        <v>103.7</v>
      </c>
      <c r="AB6" s="85">
        <v>104.3</v>
      </c>
      <c r="AC6" s="85">
        <v>104.3</v>
      </c>
      <c r="AD6" s="85">
        <v>104.7</v>
      </c>
      <c r="AE6" s="85">
        <f t="shared" si="0"/>
        <v>1390.6000000000001</v>
      </c>
      <c r="AF6" s="85">
        <f t="shared" si="1"/>
        <v>106</v>
      </c>
      <c r="AG6" s="85">
        <f t="shared" si="2"/>
        <v>318.5</v>
      </c>
      <c r="AH6" s="85">
        <f t="shared" si="3"/>
        <v>311.3</v>
      </c>
      <c r="AI6" s="85">
        <f t="shared" si="4"/>
        <v>312.7</v>
      </c>
      <c r="AJ6" s="85">
        <f t="shared" si="5"/>
        <v>104.4</v>
      </c>
      <c r="AK6" s="85">
        <f t="shared" si="6"/>
        <v>103.3</v>
      </c>
      <c r="AL6" s="85">
        <f t="shared" si="7"/>
        <v>104.3</v>
      </c>
      <c r="AM6" s="86"/>
    </row>
    <row r="7" spans="1:39" x14ac:dyDescent="0.3">
      <c r="A7" s="87" t="s">
        <v>34</v>
      </c>
      <c r="B7" s="88">
        <v>2013</v>
      </c>
      <c r="C7" s="88" t="s">
        <v>35</v>
      </c>
      <c r="D7" s="88">
        <v>110.4</v>
      </c>
      <c r="E7" s="88">
        <v>110.2</v>
      </c>
      <c r="F7" s="88">
        <v>112.8</v>
      </c>
      <c r="G7" s="88">
        <v>104.9</v>
      </c>
      <c r="H7" s="88">
        <v>105.5</v>
      </c>
      <c r="I7" s="88">
        <v>103.6</v>
      </c>
      <c r="J7" s="88">
        <v>103.2</v>
      </c>
      <c r="K7" s="88">
        <v>105.3</v>
      </c>
      <c r="L7" s="88">
        <v>105.1</v>
      </c>
      <c r="M7" s="88">
        <v>102.8</v>
      </c>
      <c r="N7" s="88">
        <v>105.5</v>
      </c>
      <c r="O7" s="88">
        <v>108.3</v>
      </c>
      <c r="P7" s="88">
        <v>106.6</v>
      </c>
      <c r="Q7" s="88">
        <v>105.7</v>
      </c>
      <c r="R7" s="88">
        <v>106.9</v>
      </c>
      <c r="S7" s="88">
        <v>106</v>
      </c>
      <c r="T7" s="88">
        <v>106.8</v>
      </c>
      <c r="U7" s="88">
        <v>100.4</v>
      </c>
      <c r="V7" s="88">
        <v>106</v>
      </c>
      <c r="W7" s="88">
        <v>105.2</v>
      </c>
      <c r="X7" s="88">
        <v>104.5</v>
      </c>
      <c r="Y7" s="88">
        <v>104.2</v>
      </c>
      <c r="Z7" s="88">
        <v>103.6</v>
      </c>
      <c r="AA7" s="88">
        <v>103.9</v>
      </c>
      <c r="AB7" s="88">
        <v>104.5</v>
      </c>
      <c r="AC7" s="88">
        <v>104.4</v>
      </c>
      <c r="AD7" s="88">
        <v>105.3</v>
      </c>
      <c r="AE7" s="88">
        <f t="shared" si="0"/>
        <v>1384.2</v>
      </c>
      <c r="AF7" s="88">
        <f t="shared" si="1"/>
        <v>105.7</v>
      </c>
      <c r="AG7" s="88">
        <f t="shared" si="2"/>
        <v>319.7</v>
      </c>
      <c r="AH7" s="88">
        <f t="shared" si="3"/>
        <v>311.60000000000002</v>
      </c>
      <c r="AI7" s="88">
        <f t="shared" si="4"/>
        <v>312.89999999999998</v>
      </c>
      <c r="AJ7" s="88">
        <f t="shared" si="5"/>
        <v>104.2</v>
      </c>
      <c r="AK7" s="88">
        <f t="shared" si="6"/>
        <v>103.6</v>
      </c>
      <c r="AL7" s="88">
        <f t="shared" si="7"/>
        <v>104.4</v>
      </c>
      <c r="AM7" s="89"/>
    </row>
    <row r="8" spans="1:39" x14ac:dyDescent="0.3">
      <c r="A8" s="84" t="s">
        <v>30</v>
      </c>
      <c r="B8" s="85">
        <v>2013</v>
      </c>
      <c r="C8" s="85" t="s">
        <v>36</v>
      </c>
      <c r="D8" s="85">
        <v>110.2</v>
      </c>
      <c r="E8" s="85">
        <v>108.8</v>
      </c>
      <c r="F8" s="85">
        <v>109.9</v>
      </c>
      <c r="G8" s="85">
        <v>105.6</v>
      </c>
      <c r="H8" s="85">
        <v>106.2</v>
      </c>
      <c r="I8" s="85">
        <v>105.7</v>
      </c>
      <c r="J8" s="85">
        <v>101.4</v>
      </c>
      <c r="K8" s="85">
        <v>105.7</v>
      </c>
      <c r="L8" s="85">
        <v>105</v>
      </c>
      <c r="M8" s="85">
        <v>103.3</v>
      </c>
      <c r="N8" s="85">
        <v>105.6</v>
      </c>
      <c r="O8" s="85">
        <v>108.2</v>
      </c>
      <c r="P8" s="85">
        <v>106.6</v>
      </c>
      <c r="Q8" s="85">
        <v>106.5</v>
      </c>
      <c r="R8" s="85">
        <v>107.6</v>
      </c>
      <c r="S8" s="85">
        <v>106.8</v>
      </c>
      <c r="T8" s="85">
        <v>107.5</v>
      </c>
      <c r="U8" s="85" t="s">
        <v>32</v>
      </c>
      <c r="V8" s="85">
        <v>106.1</v>
      </c>
      <c r="W8" s="85">
        <v>105.6</v>
      </c>
      <c r="X8" s="85">
        <v>104.7</v>
      </c>
      <c r="Y8" s="85">
        <v>104.6</v>
      </c>
      <c r="Z8" s="85">
        <v>104</v>
      </c>
      <c r="AA8" s="85">
        <v>104.3</v>
      </c>
      <c r="AB8" s="85">
        <v>104.3</v>
      </c>
      <c r="AC8" s="85">
        <v>104.6</v>
      </c>
      <c r="AD8" s="85">
        <v>106</v>
      </c>
      <c r="AE8" s="85">
        <f t="shared" si="0"/>
        <v>1382.2</v>
      </c>
      <c r="AF8" s="85">
        <f t="shared" si="1"/>
        <v>106.5</v>
      </c>
      <c r="AG8" s="85">
        <f t="shared" si="2"/>
        <v>321.89999999999998</v>
      </c>
      <c r="AH8" s="85">
        <f t="shared" si="3"/>
        <v>211.7</v>
      </c>
      <c r="AI8" s="85">
        <f t="shared" si="4"/>
        <v>313.3</v>
      </c>
      <c r="AJ8" s="85">
        <f t="shared" si="5"/>
        <v>104.6</v>
      </c>
      <c r="AK8" s="85">
        <f t="shared" si="6"/>
        <v>104</v>
      </c>
      <c r="AL8" s="85">
        <f t="shared" si="7"/>
        <v>104.6</v>
      </c>
      <c r="AM8" s="86"/>
    </row>
    <row r="9" spans="1:39" x14ac:dyDescent="0.3">
      <c r="A9" s="87" t="s">
        <v>33</v>
      </c>
      <c r="B9" s="88">
        <v>2013</v>
      </c>
      <c r="C9" s="88" t="s">
        <v>36</v>
      </c>
      <c r="D9" s="88">
        <v>113.9</v>
      </c>
      <c r="E9" s="88">
        <v>111.4</v>
      </c>
      <c r="F9" s="88">
        <v>113.2</v>
      </c>
      <c r="G9" s="88">
        <v>104.3</v>
      </c>
      <c r="H9" s="88">
        <v>102.7</v>
      </c>
      <c r="I9" s="88">
        <v>104.9</v>
      </c>
      <c r="J9" s="88">
        <v>103.8</v>
      </c>
      <c r="K9" s="88">
        <v>103.5</v>
      </c>
      <c r="L9" s="88">
        <v>102.6</v>
      </c>
      <c r="M9" s="88">
        <v>102.4</v>
      </c>
      <c r="N9" s="88">
        <v>107</v>
      </c>
      <c r="O9" s="88">
        <v>109.8</v>
      </c>
      <c r="P9" s="88">
        <v>107.3</v>
      </c>
      <c r="Q9" s="88">
        <v>106.8</v>
      </c>
      <c r="R9" s="88">
        <v>107.2</v>
      </c>
      <c r="S9" s="88">
        <v>106</v>
      </c>
      <c r="T9" s="88">
        <v>107</v>
      </c>
      <c r="U9" s="88">
        <v>100.4</v>
      </c>
      <c r="V9" s="88">
        <v>106</v>
      </c>
      <c r="W9" s="88">
        <v>105.7</v>
      </c>
      <c r="X9" s="88">
        <v>105.2</v>
      </c>
      <c r="Y9" s="88">
        <v>105.5</v>
      </c>
      <c r="Z9" s="88">
        <v>103.5</v>
      </c>
      <c r="AA9" s="88">
        <v>103.8</v>
      </c>
      <c r="AB9" s="88">
        <v>104.2</v>
      </c>
      <c r="AC9" s="88">
        <v>104.9</v>
      </c>
      <c r="AD9" s="88">
        <v>105</v>
      </c>
      <c r="AE9" s="88">
        <f t="shared" si="0"/>
        <v>1386.8</v>
      </c>
      <c r="AF9" s="88">
        <f t="shared" si="1"/>
        <v>106.8</v>
      </c>
      <c r="AG9" s="88">
        <f t="shared" si="2"/>
        <v>320.2</v>
      </c>
      <c r="AH9" s="88">
        <f t="shared" si="3"/>
        <v>312.10000000000002</v>
      </c>
      <c r="AI9" s="88">
        <f t="shared" si="4"/>
        <v>313.2</v>
      </c>
      <c r="AJ9" s="88">
        <f t="shared" si="5"/>
        <v>105.5</v>
      </c>
      <c r="AK9" s="88">
        <f t="shared" si="6"/>
        <v>103.5</v>
      </c>
      <c r="AL9" s="88">
        <f t="shared" si="7"/>
        <v>104.9</v>
      </c>
      <c r="AM9" s="89"/>
    </row>
    <row r="10" spans="1:39" x14ac:dyDescent="0.3">
      <c r="A10" s="84" t="s">
        <v>34</v>
      </c>
      <c r="B10" s="85">
        <v>2013</v>
      </c>
      <c r="C10" s="85" t="s">
        <v>36</v>
      </c>
      <c r="D10" s="85">
        <v>111.4</v>
      </c>
      <c r="E10" s="85">
        <v>109.7</v>
      </c>
      <c r="F10" s="85">
        <v>111.2</v>
      </c>
      <c r="G10" s="85">
        <v>105.1</v>
      </c>
      <c r="H10" s="85">
        <v>104.9</v>
      </c>
      <c r="I10" s="85">
        <v>105.3</v>
      </c>
      <c r="J10" s="85">
        <v>102.2</v>
      </c>
      <c r="K10" s="85">
        <v>105</v>
      </c>
      <c r="L10" s="85">
        <v>104.2</v>
      </c>
      <c r="M10" s="85">
        <v>103</v>
      </c>
      <c r="N10" s="85">
        <v>106.2</v>
      </c>
      <c r="O10" s="85">
        <v>108.9</v>
      </c>
      <c r="P10" s="85">
        <v>106.9</v>
      </c>
      <c r="Q10" s="85">
        <v>106.6</v>
      </c>
      <c r="R10" s="85">
        <v>107.4</v>
      </c>
      <c r="S10" s="85">
        <v>106.5</v>
      </c>
      <c r="T10" s="85">
        <v>107.3</v>
      </c>
      <c r="U10" s="85">
        <v>100.4</v>
      </c>
      <c r="V10" s="85">
        <v>106.1</v>
      </c>
      <c r="W10" s="85">
        <v>105.6</v>
      </c>
      <c r="X10" s="85">
        <v>104.9</v>
      </c>
      <c r="Y10" s="85">
        <v>105.1</v>
      </c>
      <c r="Z10" s="85">
        <v>103.7</v>
      </c>
      <c r="AA10" s="85">
        <v>104</v>
      </c>
      <c r="AB10" s="85">
        <v>104.3</v>
      </c>
      <c r="AC10" s="85">
        <v>104.7</v>
      </c>
      <c r="AD10" s="85">
        <v>105.5</v>
      </c>
      <c r="AE10" s="85">
        <f t="shared" si="0"/>
        <v>1384.0000000000002</v>
      </c>
      <c r="AF10" s="85">
        <f t="shared" si="1"/>
        <v>106.6</v>
      </c>
      <c r="AG10" s="85">
        <f t="shared" si="2"/>
        <v>321.2</v>
      </c>
      <c r="AH10" s="85">
        <f t="shared" si="3"/>
        <v>312.10000000000002</v>
      </c>
      <c r="AI10" s="85">
        <f t="shared" si="4"/>
        <v>313.2</v>
      </c>
      <c r="AJ10" s="85">
        <f t="shared" si="5"/>
        <v>105.1</v>
      </c>
      <c r="AK10" s="85">
        <f t="shared" si="6"/>
        <v>103.7</v>
      </c>
      <c r="AL10" s="85">
        <f t="shared" si="7"/>
        <v>104.7</v>
      </c>
      <c r="AM10" s="86"/>
    </row>
    <row r="11" spans="1:39" x14ac:dyDescent="0.3">
      <c r="A11" s="87" t="s">
        <v>30</v>
      </c>
      <c r="B11" s="88">
        <v>2013</v>
      </c>
      <c r="C11" s="88" t="s">
        <v>37</v>
      </c>
      <c r="D11" s="88">
        <v>110.2</v>
      </c>
      <c r="E11" s="88">
        <v>109.5</v>
      </c>
      <c r="F11" s="88">
        <v>106.9</v>
      </c>
      <c r="G11" s="88">
        <v>106.3</v>
      </c>
      <c r="H11" s="88">
        <v>105.7</v>
      </c>
      <c r="I11" s="88">
        <v>108.3</v>
      </c>
      <c r="J11" s="88">
        <v>103.4</v>
      </c>
      <c r="K11" s="88">
        <v>105.7</v>
      </c>
      <c r="L11" s="88">
        <v>104.2</v>
      </c>
      <c r="M11" s="88">
        <v>103.2</v>
      </c>
      <c r="N11" s="88">
        <v>106.5</v>
      </c>
      <c r="O11" s="88">
        <v>108.8</v>
      </c>
      <c r="P11" s="88">
        <v>107.1</v>
      </c>
      <c r="Q11" s="88">
        <v>107.1</v>
      </c>
      <c r="R11" s="88">
        <v>108.1</v>
      </c>
      <c r="S11" s="88">
        <v>107.4</v>
      </c>
      <c r="T11" s="88">
        <v>108</v>
      </c>
      <c r="U11" s="88" t="s">
        <v>32</v>
      </c>
      <c r="V11" s="88">
        <v>106.5</v>
      </c>
      <c r="W11" s="88">
        <v>106.1</v>
      </c>
      <c r="X11" s="88">
        <v>105.1</v>
      </c>
      <c r="Y11" s="88">
        <v>104.4</v>
      </c>
      <c r="Z11" s="88">
        <v>104.5</v>
      </c>
      <c r="AA11" s="88">
        <v>104.8</v>
      </c>
      <c r="AB11" s="88">
        <v>102.7</v>
      </c>
      <c r="AC11" s="88">
        <v>104.6</v>
      </c>
      <c r="AD11" s="88">
        <v>106.4</v>
      </c>
      <c r="AE11" s="88">
        <f t="shared" ref="AE11:AE42" si="8">SUM(D11:P11)</f>
        <v>1385.8</v>
      </c>
      <c r="AF11" s="88">
        <f t="shared" si="1"/>
        <v>107.1</v>
      </c>
      <c r="AG11" s="88">
        <f t="shared" si="2"/>
        <v>323.5</v>
      </c>
      <c r="AH11" s="88">
        <f t="shared" si="3"/>
        <v>212.6</v>
      </c>
      <c r="AI11" s="88">
        <f t="shared" si="4"/>
        <v>312.59999999999997</v>
      </c>
      <c r="AJ11" s="88">
        <f t="shared" si="5"/>
        <v>104.4</v>
      </c>
      <c r="AK11" s="88">
        <f t="shared" si="6"/>
        <v>104.5</v>
      </c>
      <c r="AL11" s="88">
        <f t="shared" si="7"/>
        <v>104.6</v>
      </c>
      <c r="AM11" s="89"/>
    </row>
    <row r="12" spans="1:39" x14ac:dyDescent="0.3">
      <c r="A12" s="84" t="s">
        <v>33</v>
      </c>
      <c r="B12" s="85">
        <v>2013</v>
      </c>
      <c r="C12" s="85" t="s">
        <v>37</v>
      </c>
      <c r="D12" s="85">
        <v>114.6</v>
      </c>
      <c r="E12" s="85">
        <v>113.4</v>
      </c>
      <c r="F12" s="85">
        <v>106</v>
      </c>
      <c r="G12" s="85">
        <v>104.7</v>
      </c>
      <c r="H12" s="85">
        <v>102.1</v>
      </c>
      <c r="I12" s="85">
        <v>109.5</v>
      </c>
      <c r="J12" s="85">
        <v>109.7</v>
      </c>
      <c r="K12" s="85">
        <v>104.6</v>
      </c>
      <c r="L12" s="85">
        <v>102</v>
      </c>
      <c r="M12" s="85">
        <v>103.5</v>
      </c>
      <c r="N12" s="85">
        <v>108.2</v>
      </c>
      <c r="O12" s="85">
        <v>110.6</v>
      </c>
      <c r="P12" s="85">
        <v>108.8</v>
      </c>
      <c r="Q12" s="85">
        <v>108.5</v>
      </c>
      <c r="R12" s="85">
        <v>107.9</v>
      </c>
      <c r="S12" s="85">
        <v>106.4</v>
      </c>
      <c r="T12" s="85">
        <v>107.7</v>
      </c>
      <c r="U12" s="85">
        <v>100.5</v>
      </c>
      <c r="V12" s="85">
        <v>106.4</v>
      </c>
      <c r="W12" s="85">
        <v>106.5</v>
      </c>
      <c r="X12" s="85">
        <v>105.7</v>
      </c>
      <c r="Y12" s="85">
        <v>105</v>
      </c>
      <c r="Z12" s="85">
        <v>104</v>
      </c>
      <c r="AA12" s="85">
        <v>105.2</v>
      </c>
      <c r="AB12" s="85">
        <v>103.2</v>
      </c>
      <c r="AC12" s="85">
        <v>105.1</v>
      </c>
      <c r="AD12" s="85">
        <v>105.7</v>
      </c>
      <c r="AE12" s="85">
        <f t="shared" si="8"/>
        <v>1397.6999999999998</v>
      </c>
      <c r="AF12" s="85">
        <f t="shared" si="1"/>
        <v>108.5</v>
      </c>
      <c r="AG12" s="85">
        <f t="shared" si="2"/>
        <v>322</v>
      </c>
      <c r="AH12" s="85">
        <f t="shared" si="3"/>
        <v>313.39999999999998</v>
      </c>
      <c r="AI12" s="85">
        <f t="shared" si="4"/>
        <v>314.10000000000002</v>
      </c>
      <c r="AJ12" s="85">
        <f t="shared" si="5"/>
        <v>105</v>
      </c>
      <c r="AK12" s="85">
        <f t="shared" si="6"/>
        <v>104</v>
      </c>
      <c r="AL12" s="85">
        <f t="shared" si="7"/>
        <v>105.1</v>
      </c>
      <c r="AM12" s="86"/>
    </row>
    <row r="13" spans="1:39" x14ac:dyDescent="0.3">
      <c r="A13" s="87" t="s">
        <v>34</v>
      </c>
      <c r="B13" s="88">
        <v>2013</v>
      </c>
      <c r="C13" s="88" t="s">
        <v>37</v>
      </c>
      <c r="D13" s="88">
        <v>111.6</v>
      </c>
      <c r="E13" s="88">
        <v>110.9</v>
      </c>
      <c r="F13" s="88">
        <v>106.6</v>
      </c>
      <c r="G13" s="88">
        <v>105.7</v>
      </c>
      <c r="H13" s="88">
        <v>104.4</v>
      </c>
      <c r="I13" s="88">
        <v>108.9</v>
      </c>
      <c r="J13" s="88">
        <v>105.5</v>
      </c>
      <c r="K13" s="88">
        <v>105.3</v>
      </c>
      <c r="L13" s="88">
        <v>103.5</v>
      </c>
      <c r="M13" s="88">
        <v>103.3</v>
      </c>
      <c r="N13" s="88">
        <v>107.2</v>
      </c>
      <c r="O13" s="88">
        <v>109.6</v>
      </c>
      <c r="P13" s="88">
        <v>107.7</v>
      </c>
      <c r="Q13" s="88">
        <v>107.5</v>
      </c>
      <c r="R13" s="88">
        <v>108</v>
      </c>
      <c r="S13" s="88">
        <v>107</v>
      </c>
      <c r="T13" s="88">
        <v>107.9</v>
      </c>
      <c r="U13" s="88">
        <v>100.5</v>
      </c>
      <c r="V13" s="88">
        <v>106.5</v>
      </c>
      <c r="W13" s="88">
        <v>106.3</v>
      </c>
      <c r="X13" s="88">
        <v>105.3</v>
      </c>
      <c r="Y13" s="88">
        <v>104.7</v>
      </c>
      <c r="Z13" s="88">
        <v>104.2</v>
      </c>
      <c r="AA13" s="88">
        <v>105</v>
      </c>
      <c r="AB13" s="88">
        <v>102.9</v>
      </c>
      <c r="AC13" s="88">
        <v>104.8</v>
      </c>
      <c r="AD13" s="88">
        <v>106.1</v>
      </c>
      <c r="AE13" s="88">
        <f t="shared" si="8"/>
        <v>1390.2</v>
      </c>
      <c r="AF13" s="88">
        <f t="shared" si="1"/>
        <v>107.5</v>
      </c>
      <c r="AG13" s="88">
        <f t="shared" si="2"/>
        <v>322.89999999999998</v>
      </c>
      <c r="AH13" s="88">
        <f t="shared" si="3"/>
        <v>313.3</v>
      </c>
      <c r="AI13" s="88">
        <f t="shared" si="4"/>
        <v>313.20000000000005</v>
      </c>
      <c r="AJ13" s="88">
        <f t="shared" si="5"/>
        <v>104.7</v>
      </c>
      <c r="AK13" s="88">
        <f t="shared" si="6"/>
        <v>104.2</v>
      </c>
      <c r="AL13" s="88">
        <f t="shared" si="7"/>
        <v>104.8</v>
      </c>
      <c r="AM13" s="89"/>
    </row>
    <row r="14" spans="1:39" x14ac:dyDescent="0.3">
      <c r="A14" s="84" t="s">
        <v>30</v>
      </c>
      <c r="B14" s="85">
        <v>2013</v>
      </c>
      <c r="C14" s="85" t="s">
        <v>38</v>
      </c>
      <c r="D14" s="85">
        <v>110.9</v>
      </c>
      <c r="E14" s="85">
        <v>109.8</v>
      </c>
      <c r="F14" s="85">
        <v>105.9</v>
      </c>
      <c r="G14" s="85">
        <v>107.5</v>
      </c>
      <c r="H14" s="85">
        <v>105.3</v>
      </c>
      <c r="I14" s="85">
        <v>108.1</v>
      </c>
      <c r="J14" s="85">
        <v>107.3</v>
      </c>
      <c r="K14" s="85">
        <v>106.1</v>
      </c>
      <c r="L14" s="85">
        <v>103.7</v>
      </c>
      <c r="M14" s="85">
        <v>104</v>
      </c>
      <c r="N14" s="85">
        <v>107.4</v>
      </c>
      <c r="O14" s="85">
        <v>109.9</v>
      </c>
      <c r="P14" s="85">
        <v>108.1</v>
      </c>
      <c r="Q14" s="85">
        <v>108.1</v>
      </c>
      <c r="R14" s="85">
        <v>108.8</v>
      </c>
      <c r="S14" s="85">
        <v>107.9</v>
      </c>
      <c r="T14" s="85">
        <v>108.6</v>
      </c>
      <c r="U14" s="85" t="s">
        <v>32</v>
      </c>
      <c r="V14" s="85">
        <v>107.5</v>
      </c>
      <c r="W14" s="85">
        <v>106.8</v>
      </c>
      <c r="X14" s="85">
        <v>105.7</v>
      </c>
      <c r="Y14" s="85">
        <v>104.1</v>
      </c>
      <c r="Z14" s="85">
        <v>105</v>
      </c>
      <c r="AA14" s="85">
        <v>105.5</v>
      </c>
      <c r="AB14" s="85">
        <v>102.1</v>
      </c>
      <c r="AC14" s="85">
        <v>104.8</v>
      </c>
      <c r="AD14" s="85">
        <v>107.2</v>
      </c>
      <c r="AE14" s="85">
        <f t="shared" si="8"/>
        <v>1394</v>
      </c>
      <c r="AF14" s="85">
        <f t="shared" si="1"/>
        <v>108.1</v>
      </c>
      <c r="AG14" s="85">
        <f t="shared" si="2"/>
        <v>325.29999999999995</v>
      </c>
      <c r="AH14" s="85">
        <f t="shared" si="3"/>
        <v>214.3</v>
      </c>
      <c r="AI14" s="85">
        <f t="shared" si="4"/>
        <v>313.29999999999995</v>
      </c>
      <c r="AJ14" s="85">
        <f t="shared" si="5"/>
        <v>104.1</v>
      </c>
      <c r="AK14" s="85">
        <f t="shared" si="6"/>
        <v>105</v>
      </c>
      <c r="AL14" s="85">
        <f t="shared" si="7"/>
        <v>104.8</v>
      </c>
      <c r="AM14" s="86"/>
    </row>
    <row r="15" spans="1:39" x14ac:dyDescent="0.3">
      <c r="A15" s="87" t="s">
        <v>33</v>
      </c>
      <c r="B15" s="88">
        <v>2013</v>
      </c>
      <c r="C15" s="88" t="s">
        <v>38</v>
      </c>
      <c r="D15" s="88">
        <v>115.4</v>
      </c>
      <c r="E15" s="88">
        <v>114.2</v>
      </c>
      <c r="F15" s="88">
        <v>102.7</v>
      </c>
      <c r="G15" s="88">
        <v>105.5</v>
      </c>
      <c r="H15" s="88">
        <v>101.5</v>
      </c>
      <c r="I15" s="88">
        <v>110.6</v>
      </c>
      <c r="J15" s="88">
        <v>123.7</v>
      </c>
      <c r="K15" s="88">
        <v>105.2</v>
      </c>
      <c r="L15" s="88">
        <v>101.9</v>
      </c>
      <c r="M15" s="88">
        <v>105</v>
      </c>
      <c r="N15" s="88">
        <v>109.1</v>
      </c>
      <c r="O15" s="88">
        <v>111.3</v>
      </c>
      <c r="P15" s="88">
        <v>111.1</v>
      </c>
      <c r="Q15" s="88">
        <v>109.8</v>
      </c>
      <c r="R15" s="88">
        <v>108.5</v>
      </c>
      <c r="S15" s="88">
        <v>106.7</v>
      </c>
      <c r="T15" s="88">
        <v>108.3</v>
      </c>
      <c r="U15" s="88">
        <v>100.5</v>
      </c>
      <c r="V15" s="88">
        <v>107.2</v>
      </c>
      <c r="W15" s="88">
        <v>107.1</v>
      </c>
      <c r="X15" s="88">
        <v>106.2</v>
      </c>
      <c r="Y15" s="88">
        <v>103.9</v>
      </c>
      <c r="Z15" s="88">
        <v>104.6</v>
      </c>
      <c r="AA15" s="88">
        <v>105.7</v>
      </c>
      <c r="AB15" s="88">
        <v>102.6</v>
      </c>
      <c r="AC15" s="88">
        <v>104.9</v>
      </c>
      <c r="AD15" s="88">
        <v>106.6</v>
      </c>
      <c r="AE15" s="88">
        <f t="shared" si="8"/>
        <v>1417.1999999999998</v>
      </c>
      <c r="AF15" s="88">
        <f t="shared" si="1"/>
        <v>109.8</v>
      </c>
      <c r="AG15" s="88">
        <f t="shared" si="2"/>
        <v>323.5</v>
      </c>
      <c r="AH15" s="88">
        <f t="shared" si="3"/>
        <v>314.79999999999995</v>
      </c>
      <c r="AI15" s="88">
        <f t="shared" si="4"/>
        <v>314.5</v>
      </c>
      <c r="AJ15" s="88">
        <f t="shared" si="5"/>
        <v>103.9</v>
      </c>
      <c r="AK15" s="88">
        <f t="shared" si="6"/>
        <v>104.6</v>
      </c>
      <c r="AL15" s="88">
        <f t="shared" si="7"/>
        <v>104.9</v>
      </c>
      <c r="AM15" s="89"/>
    </row>
    <row r="16" spans="1:39" x14ac:dyDescent="0.3">
      <c r="A16" s="84" t="s">
        <v>34</v>
      </c>
      <c r="B16" s="85">
        <v>2013</v>
      </c>
      <c r="C16" s="85" t="s">
        <v>38</v>
      </c>
      <c r="D16" s="85">
        <v>112.3</v>
      </c>
      <c r="E16" s="85">
        <v>111.3</v>
      </c>
      <c r="F16" s="85">
        <v>104.7</v>
      </c>
      <c r="G16" s="85">
        <v>106.8</v>
      </c>
      <c r="H16" s="85">
        <v>103.9</v>
      </c>
      <c r="I16" s="85">
        <v>109.3</v>
      </c>
      <c r="J16" s="85">
        <v>112.9</v>
      </c>
      <c r="K16" s="85">
        <v>105.8</v>
      </c>
      <c r="L16" s="85">
        <v>103.1</v>
      </c>
      <c r="M16" s="85">
        <v>104.3</v>
      </c>
      <c r="N16" s="85">
        <v>108.1</v>
      </c>
      <c r="O16" s="85">
        <v>110.5</v>
      </c>
      <c r="P16" s="85">
        <v>109.2</v>
      </c>
      <c r="Q16" s="85">
        <v>108.6</v>
      </c>
      <c r="R16" s="85">
        <v>108.7</v>
      </c>
      <c r="S16" s="85">
        <v>107.4</v>
      </c>
      <c r="T16" s="85">
        <v>108.5</v>
      </c>
      <c r="U16" s="85">
        <v>100.5</v>
      </c>
      <c r="V16" s="85">
        <v>107.4</v>
      </c>
      <c r="W16" s="85">
        <v>106.9</v>
      </c>
      <c r="X16" s="85">
        <v>105.9</v>
      </c>
      <c r="Y16" s="85">
        <v>104</v>
      </c>
      <c r="Z16" s="85">
        <v>104.8</v>
      </c>
      <c r="AA16" s="85">
        <v>105.6</v>
      </c>
      <c r="AB16" s="85">
        <v>102.3</v>
      </c>
      <c r="AC16" s="85">
        <v>104.8</v>
      </c>
      <c r="AD16" s="85">
        <v>106.9</v>
      </c>
      <c r="AE16" s="85">
        <f t="shared" si="8"/>
        <v>1402.1999999999998</v>
      </c>
      <c r="AF16" s="85">
        <f t="shared" si="1"/>
        <v>108.6</v>
      </c>
      <c r="AG16" s="85">
        <f t="shared" si="2"/>
        <v>324.60000000000002</v>
      </c>
      <c r="AH16" s="85">
        <f t="shared" si="3"/>
        <v>314.8</v>
      </c>
      <c r="AI16" s="85">
        <f t="shared" si="4"/>
        <v>313.8</v>
      </c>
      <c r="AJ16" s="85">
        <f t="shared" si="5"/>
        <v>104</v>
      </c>
      <c r="AK16" s="85">
        <f t="shared" si="6"/>
        <v>104.8</v>
      </c>
      <c r="AL16" s="85">
        <f t="shared" si="7"/>
        <v>104.8</v>
      </c>
      <c r="AM16" s="86"/>
    </row>
    <row r="17" spans="1:39" x14ac:dyDescent="0.3">
      <c r="A17" s="87" t="s">
        <v>30</v>
      </c>
      <c r="B17" s="88">
        <v>2013</v>
      </c>
      <c r="C17" s="88" t="s">
        <v>39</v>
      </c>
      <c r="D17" s="88">
        <v>112.3</v>
      </c>
      <c r="E17" s="88">
        <v>112.1</v>
      </c>
      <c r="F17" s="88">
        <v>108.1</v>
      </c>
      <c r="G17" s="88">
        <v>108.3</v>
      </c>
      <c r="H17" s="88">
        <v>105.9</v>
      </c>
      <c r="I17" s="88">
        <v>109.2</v>
      </c>
      <c r="J17" s="88">
        <v>118</v>
      </c>
      <c r="K17" s="88">
        <v>106.8</v>
      </c>
      <c r="L17" s="88">
        <v>104.1</v>
      </c>
      <c r="M17" s="88">
        <v>105.4</v>
      </c>
      <c r="N17" s="88">
        <v>108.2</v>
      </c>
      <c r="O17" s="88">
        <v>111</v>
      </c>
      <c r="P17" s="88">
        <v>110.6</v>
      </c>
      <c r="Q17" s="88">
        <v>109</v>
      </c>
      <c r="R17" s="88">
        <v>109.7</v>
      </c>
      <c r="S17" s="88">
        <v>108.8</v>
      </c>
      <c r="T17" s="88">
        <v>109.5</v>
      </c>
      <c r="U17" s="88" t="s">
        <v>32</v>
      </c>
      <c r="V17" s="88">
        <v>108.5</v>
      </c>
      <c r="W17" s="88">
        <v>107.5</v>
      </c>
      <c r="X17" s="88">
        <v>106.3</v>
      </c>
      <c r="Y17" s="88">
        <v>105</v>
      </c>
      <c r="Z17" s="88">
        <v>105.6</v>
      </c>
      <c r="AA17" s="88">
        <v>106.5</v>
      </c>
      <c r="AB17" s="88">
        <v>102.5</v>
      </c>
      <c r="AC17" s="88">
        <v>105.5</v>
      </c>
      <c r="AD17" s="88">
        <v>108.9</v>
      </c>
      <c r="AE17" s="88">
        <f t="shared" si="8"/>
        <v>1420</v>
      </c>
      <c r="AF17" s="88">
        <f t="shared" si="1"/>
        <v>109</v>
      </c>
      <c r="AG17" s="88">
        <f t="shared" si="2"/>
        <v>328</v>
      </c>
      <c r="AH17" s="88">
        <f t="shared" si="3"/>
        <v>216</v>
      </c>
      <c r="AI17" s="88">
        <f t="shared" si="4"/>
        <v>315.3</v>
      </c>
      <c r="AJ17" s="88">
        <f t="shared" si="5"/>
        <v>105</v>
      </c>
      <c r="AK17" s="88">
        <f t="shared" si="6"/>
        <v>105.6</v>
      </c>
      <c r="AL17" s="88">
        <f t="shared" si="7"/>
        <v>105.5</v>
      </c>
      <c r="AM17" s="89"/>
    </row>
    <row r="18" spans="1:39" x14ac:dyDescent="0.3">
      <c r="A18" s="84" t="s">
        <v>33</v>
      </c>
      <c r="B18" s="85">
        <v>2013</v>
      </c>
      <c r="C18" s="85" t="s">
        <v>39</v>
      </c>
      <c r="D18" s="85">
        <v>117</v>
      </c>
      <c r="E18" s="85">
        <v>120.1</v>
      </c>
      <c r="F18" s="85">
        <v>112.5</v>
      </c>
      <c r="G18" s="85">
        <v>107.3</v>
      </c>
      <c r="H18" s="85">
        <v>101.3</v>
      </c>
      <c r="I18" s="85">
        <v>112.4</v>
      </c>
      <c r="J18" s="85">
        <v>143.6</v>
      </c>
      <c r="K18" s="85">
        <v>105.4</v>
      </c>
      <c r="L18" s="85">
        <v>101.4</v>
      </c>
      <c r="M18" s="85">
        <v>106.4</v>
      </c>
      <c r="N18" s="85">
        <v>110</v>
      </c>
      <c r="O18" s="85">
        <v>112.2</v>
      </c>
      <c r="P18" s="85">
        <v>115</v>
      </c>
      <c r="Q18" s="85">
        <v>110.9</v>
      </c>
      <c r="R18" s="85">
        <v>109.2</v>
      </c>
      <c r="S18" s="85">
        <v>107.2</v>
      </c>
      <c r="T18" s="85">
        <v>108.9</v>
      </c>
      <c r="U18" s="85">
        <v>106.6</v>
      </c>
      <c r="V18" s="85">
        <v>108</v>
      </c>
      <c r="W18" s="85">
        <v>107.7</v>
      </c>
      <c r="X18" s="85">
        <v>106.5</v>
      </c>
      <c r="Y18" s="85">
        <v>105.2</v>
      </c>
      <c r="Z18" s="85">
        <v>105.2</v>
      </c>
      <c r="AA18" s="85">
        <v>108.1</v>
      </c>
      <c r="AB18" s="85">
        <v>103.3</v>
      </c>
      <c r="AC18" s="85">
        <v>106.1</v>
      </c>
      <c r="AD18" s="85">
        <v>109.7</v>
      </c>
      <c r="AE18" s="85">
        <f t="shared" si="8"/>
        <v>1464.6000000000001</v>
      </c>
      <c r="AF18" s="85">
        <f t="shared" si="1"/>
        <v>110.9</v>
      </c>
      <c r="AG18" s="85">
        <f t="shared" si="2"/>
        <v>325.3</v>
      </c>
      <c r="AH18" s="85">
        <f t="shared" si="3"/>
        <v>322.3</v>
      </c>
      <c r="AI18" s="85">
        <f t="shared" si="4"/>
        <v>317.89999999999998</v>
      </c>
      <c r="AJ18" s="85">
        <f t="shared" si="5"/>
        <v>105.2</v>
      </c>
      <c r="AK18" s="85">
        <f t="shared" si="6"/>
        <v>105.2</v>
      </c>
      <c r="AL18" s="85">
        <f t="shared" si="7"/>
        <v>106.1</v>
      </c>
      <c r="AM18" s="86"/>
    </row>
    <row r="19" spans="1:39" x14ac:dyDescent="0.3">
      <c r="A19" s="87" t="s">
        <v>34</v>
      </c>
      <c r="B19" s="88">
        <v>2013</v>
      </c>
      <c r="C19" s="88" t="s">
        <v>39</v>
      </c>
      <c r="D19" s="88">
        <v>113.8</v>
      </c>
      <c r="E19" s="88">
        <v>114.9</v>
      </c>
      <c r="F19" s="88">
        <v>109.8</v>
      </c>
      <c r="G19" s="88">
        <v>107.9</v>
      </c>
      <c r="H19" s="88">
        <v>104.2</v>
      </c>
      <c r="I19" s="88">
        <v>110.7</v>
      </c>
      <c r="J19" s="88">
        <v>126.7</v>
      </c>
      <c r="K19" s="88">
        <v>106.3</v>
      </c>
      <c r="L19" s="88">
        <v>103.2</v>
      </c>
      <c r="M19" s="88">
        <v>105.7</v>
      </c>
      <c r="N19" s="88">
        <v>109</v>
      </c>
      <c r="O19" s="88">
        <v>111.6</v>
      </c>
      <c r="P19" s="88">
        <v>112.2</v>
      </c>
      <c r="Q19" s="88">
        <v>109.5</v>
      </c>
      <c r="R19" s="88">
        <v>109.5</v>
      </c>
      <c r="S19" s="88">
        <v>108.1</v>
      </c>
      <c r="T19" s="88">
        <v>109.3</v>
      </c>
      <c r="U19" s="88">
        <v>106.6</v>
      </c>
      <c r="V19" s="88">
        <v>108.3</v>
      </c>
      <c r="W19" s="88">
        <v>107.6</v>
      </c>
      <c r="X19" s="88">
        <v>106.4</v>
      </c>
      <c r="Y19" s="88">
        <v>105.1</v>
      </c>
      <c r="Z19" s="88">
        <v>105.4</v>
      </c>
      <c r="AA19" s="88">
        <v>107.4</v>
      </c>
      <c r="AB19" s="88">
        <v>102.8</v>
      </c>
      <c r="AC19" s="88">
        <v>105.8</v>
      </c>
      <c r="AD19" s="88">
        <v>109.3</v>
      </c>
      <c r="AE19" s="88">
        <f t="shared" si="8"/>
        <v>1436</v>
      </c>
      <c r="AF19" s="88">
        <f t="shared" si="1"/>
        <v>109.5</v>
      </c>
      <c r="AG19" s="88">
        <f t="shared" si="2"/>
        <v>326.89999999999998</v>
      </c>
      <c r="AH19" s="88">
        <f t="shared" si="3"/>
        <v>322.5</v>
      </c>
      <c r="AI19" s="88">
        <f t="shared" si="4"/>
        <v>316.60000000000002</v>
      </c>
      <c r="AJ19" s="88">
        <f t="shared" si="5"/>
        <v>105.1</v>
      </c>
      <c r="AK19" s="88">
        <f t="shared" si="6"/>
        <v>105.4</v>
      </c>
      <c r="AL19" s="88">
        <f t="shared" si="7"/>
        <v>105.8</v>
      </c>
      <c r="AM19" s="89"/>
    </row>
    <row r="20" spans="1:39" x14ac:dyDescent="0.3">
      <c r="A20" s="84" t="s">
        <v>30</v>
      </c>
      <c r="B20" s="85">
        <v>2013</v>
      </c>
      <c r="C20" s="85" t="s">
        <v>40</v>
      </c>
      <c r="D20" s="85">
        <v>113.4</v>
      </c>
      <c r="E20" s="85">
        <v>114.9</v>
      </c>
      <c r="F20" s="85">
        <v>110.5</v>
      </c>
      <c r="G20" s="85">
        <v>109.3</v>
      </c>
      <c r="H20" s="85">
        <v>106.2</v>
      </c>
      <c r="I20" s="85">
        <v>110.3</v>
      </c>
      <c r="J20" s="85">
        <v>129.19999999999999</v>
      </c>
      <c r="K20" s="85">
        <v>107.1</v>
      </c>
      <c r="L20" s="85">
        <v>104.3</v>
      </c>
      <c r="M20" s="85">
        <v>106.4</v>
      </c>
      <c r="N20" s="85">
        <v>109.1</v>
      </c>
      <c r="O20" s="85">
        <v>112.1</v>
      </c>
      <c r="P20" s="85">
        <v>113.1</v>
      </c>
      <c r="Q20" s="85">
        <v>109.8</v>
      </c>
      <c r="R20" s="85">
        <v>110.5</v>
      </c>
      <c r="S20" s="85">
        <v>109.5</v>
      </c>
      <c r="T20" s="85">
        <v>110.3</v>
      </c>
      <c r="U20" s="85" t="s">
        <v>32</v>
      </c>
      <c r="V20" s="85">
        <v>109.5</v>
      </c>
      <c r="W20" s="85">
        <v>108.3</v>
      </c>
      <c r="X20" s="85">
        <v>106.9</v>
      </c>
      <c r="Y20" s="85">
        <v>106.8</v>
      </c>
      <c r="Z20" s="85">
        <v>106.4</v>
      </c>
      <c r="AA20" s="85">
        <v>107.8</v>
      </c>
      <c r="AB20" s="85">
        <v>102.5</v>
      </c>
      <c r="AC20" s="85">
        <v>106.5</v>
      </c>
      <c r="AD20" s="85">
        <v>110.7</v>
      </c>
      <c r="AE20" s="85">
        <f t="shared" si="8"/>
        <v>1445.8999999999996</v>
      </c>
      <c r="AF20" s="85">
        <f t="shared" si="1"/>
        <v>109.8</v>
      </c>
      <c r="AG20" s="85">
        <f t="shared" si="2"/>
        <v>330.3</v>
      </c>
      <c r="AH20" s="85">
        <f t="shared" si="3"/>
        <v>217.8</v>
      </c>
      <c r="AI20" s="85">
        <f t="shared" si="4"/>
        <v>317.2</v>
      </c>
      <c r="AJ20" s="85">
        <f t="shared" si="5"/>
        <v>106.8</v>
      </c>
      <c r="AK20" s="85">
        <f t="shared" si="6"/>
        <v>106.4</v>
      </c>
      <c r="AL20" s="85">
        <f t="shared" si="7"/>
        <v>106.5</v>
      </c>
      <c r="AM20" s="86"/>
    </row>
    <row r="21" spans="1:39" x14ac:dyDescent="0.3">
      <c r="A21" s="87" t="s">
        <v>33</v>
      </c>
      <c r="B21" s="88">
        <v>2013</v>
      </c>
      <c r="C21" s="88" t="s">
        <v>40</v>
      </c>
      <c r="D21" s="88">
        <v>117.8</v>
      </c>
      <c r="E21" s="88">
        <v>119.2</v>
      </c>
      <c r="F21" s="88">
        <v>114</v>
      </c>
      <c r="G21" s="88">
        <v>108.3</v>
      </c>
      <c r="H21" s="88">
        <v>101.1</v>
      </c>
      <c r="I21" s="88">
        <v>113.2</v>
      </c>
      <c r="J21" s="88">
        <v>160.9</v>
      </c>
      <c r="K21" s="88">
        <v>105.1</v>
      </c>
      <c r="L21" s="88">
        <v>101.3</v>
      </c>
      <c r="M21" s="88">
        <v>107.5</v>
      </c>
      <c r="N21" s="88">
        <v>110.4</v>
      </c>
      <c r="O21" s="88">
        <v>113.1</v>
      </c>
      <c r="P21" s="88">
        <v>117.5</v>
      </c>
      <c r="Q21" s="88">
        <v>111.7</v>
      </c>
      <c r="R21" s="88">
        <v>109.8</v>
      </c>
      <c r="S21" s="88">
        <v>107.8</v>
      </c>
      <c r="T21" s="88">
        <v>109.5</v>
      </c>
      <c r="U21" s="88">
        <v>107.7</v>
      </c>
      <c r="V21" s="88">
        <v>108.6</v>
      </c>
      <c r="W21" s="88">
        <v>108.1</v>
      </c>
      <c r="X21" s="88">
        <v>107.1</v>
      </c>
      <c r="Y21" s="88">
        <v>107.3</v>
      </c>
      <c r="Z21" s="88">
        <v>105.9</v>
      </c>
      <c r="AA21" s="88">
        <v>110.1</v>
      </c>
      <c r="AB21" s="88">
        <v>103.2</v>
      </c>
      <c r="AC21" s="88">
        <v>107.3</v>
      </c>
      <c r="AD21" s="88">
        <v>111.4</v>
      </c>
      <c r="AE21" s="88">
        <f t="shared" si="8"/>
        <v>1489.4</v>
      </c>
      <c r="AF21" s="88">
        <f t="shared" si="1"/>
        <v>111.7</v>
      </c>
      <c r="AG21" s="88">
        <f t="shared" si="2"/>
        <v>327.10000000000002</v>
      </c>
      <c r="AH21" s="88">
        <f t="shared" si="3"/>
        <v>324.39999999999998</v>
      </c>
      <c r="AI21" s="88">
        <f t="shared" si="4"/>
        <v>320.39999999999998</v>
      </c>
      <c r="AJ21" s="88">
        <f t="shared" si="5"/>
        <v>107.3</v>
      </c>
      <c r="AK21" s="88">
        <f t="shared" si="6"/>
        <v>105.9</v>
      </c>
      <c r="AL21" s="88">
        <f t="shared" si="7"/>
        <v>107.3</v>
      </c>
      <c r="AM21" s="89"/>
    </row>
    <row r="22" spans="1:39" x14ac:dyDescent="0.3">
      <c r="A22" s="84" t="s">
        <v>34</v>
      </c>
      <c r="B22" s="85">
        <v>2013</v>
      </c>
      <c r="C22" s="85" t="s">
        <v>40</v>
      </c>
      <c r="D22" s="85">
        <v>114.8</v>
      </c>
      <c r="E22" s="85">
        <v>116.4</v>
      </c>
      <c r="F22" s="85">
        <v>111.9</v>
      </c>
      <c r="G22" s="85">
        <v>108.9</v>
      </c>
      <c r="H22" s="85">
        <v>104.3</v>
      </c>
      <c r="I22" s="85">
        <v>111.7</v>
      </c>
      <c r="J22" s="85">
        <v>140</v>
      </c>
      <c r="K22" s="85">
        <v>106.4</v>
      </c>
      <c r="L22" s="85">
        <v>103.3</v>
      </c>
      <c r="M22" s="85">
        <v>106.8</v>
      </c>
      <c r="N22" s="85">
        <v>109.6</v>
      </c>
      <c r="O22" s="85">
        <v>112.6</v>
      </c>
      <c r="P22" s="85">
        <v>114.7</v>
      </c>
      <c r="Q22" s="85">
        <v>110.3</v>
      </c>
      <c r="R22" s="85">
        <v>110.2</v>
      </c>
      <c r="S22" s="85">
        <v>108.8</v>
      </c>
      <c r="T22" s="85">
        <v>110</v>
      </c>
      <c r="U22" s="85">
        <v>107.7</v>
      </c>
      <c r="V22" s="85">
        <v>109.2</v>
      </c>
      <c r="W22" s="85">
        <v>108.2</v>
      </c>
      <c r="X22" s="85">
        <v>107</v>
      </c>
      <c r="Y22" s="85">
        <v>107.1</v>
      </c>
      <c r="Z22" s="85">
        <v>106.1</v>
      </c>
      <c r="AA22" s="85">
        <v>109.1</v>
      </c>
      <c r="AB22" s="85">
        <v>102.8</v>
      </c>
      <c r="AC22" s="85">
        <v>106.9</v>
      </c>
      <c r="AD22" s="85">
        <v>111</v>
      </c>
      <c r="AE22" s="85">
        <f t="shared" si="8"/>
        <v>1461.3999999999999</v>
      </c>
      <c r="AF22" s="85">
        <f t="shared" si="1"/>
        <v>110.3</v>
      </c>
      <c r="AG22" s="85">
        <f t="shared" si="2"/>
        <v>329</v>
      </c>
      <c r="AH22" s="85">
        <f t="shared" si="3"/>
        <v>325.10000000000002</v>
      </c>
      <c r="AI22" s="85">
        <f t="shared" si="4"/>
        <v>318.89999999999998</v>
      </c>
      <c r="AJ22" s="85">
        <f t="shared" si="5"/>
        <v>107.1</v>
      </c>
      <c r="AK22" s="85">
        <f t="shared" si="6"/>
        <v>106.1</v>
      </c>
      <c r="AL22" s="85">
        <f t="shared" si="7"/>
        <v>106.9</v>
      </c>
      <c r="AM22" s="86"/>
    </row>
    <row r="23" spans="1:39" x14ac:dyDescent="0.3">
      <c r="A23" s="87" t="s">
        <v>30</v>
      </c>
      <c r="B23" s="88">
        <v>2013</v>
      </c>
      <c r="C23" s="88" t="s">
        <v>41</v>
      </c>
      <c r="D23" s="88">
        <v>114.3</v>
      </c>
      <c r="E23" s="88">
        <v>115.4</v>
      </c>
      <c r="F23" s="88">
        <v>111.1</v>
      </c>
      <c r="G23" s="88">
        <v>110</v>
      </c>
      <c r="H23" s="88">
        <v>106.4</v>
      </c>
      <c r="I23" s="88">
        <v>110.8</v>
      </c>
      <c r="J23" s="88">
        <v>138.9</v>
      </c>
      <c r="K23" s="88">
        <v>107.4</v>
      </c>
      <c r="L23" s="88">
        <v>104.1</v>
      </c>
      <c r="M23" s="88">
        <v>106.9</v>
      </c>
      <c r="N23" s="88">
        <v>109.7</v>
      </c>
      <c r="O23" s="88">
        <v>112.6</v>
      </c>
      <c r="P23" s="88">
        <v>114.9</v>
      </c>
      <c r="Q23" s="88">
        <v>110.7</v>
      </c>
      <c r="R23" s="88">
        <v>111.3</v>
      </c>
      <c r="S23" s="88">
        <v>110.2</v>
      </c>
      <c r="T23" s="88">
        <v>111.1</v>
      </c>
      <c r="U23" s="88" t="s">
        <v>32</v>
      </c>
      <c r="V23" s="88">
        <v>109.9</v>
      </c>
      <c r="W23" s="88">
        <v>108.7</v>
      </c>
      <c r="X23" s="88">
        <v>107.5</v>
      </c>
      <c r="Y23" s="88">
        <v>107.8</v>
      </c>
      <c r="Z23" s="88">
        <v>106.8</v>
      </c>
      <c r="AA23" s="88">
        <v>108.7</v>
      </c>
      <c r="AB23" s="88">
        <v>105</v>
      </c>
      <c r="AC23" s="88">
        <v>107.5</v>
      </c>
      <c r="AD23" s="88">
        <v>112.1</v>
      </c>
      <c r="AE23" s="88">
        <f t="shared" si="8"/>
        <v>1462.5</v>
      </c>
      <c r="AF23" s="88">
        <f t="shared" si="1"/>
        <v>110.7</v>
      </c>
      <c r="AG23" s="88">
        <f t="shared" si="2"/>
        <v>332.6</v>
      </c>
      <c r="AH23" s="88">
        <f t="shared" si="3"/>
        <v>218.60000000000002</v>
      </c>
      <c r="AI23" s="88">
        <f t="shared" si="4"/>
        <v>321.2</v>
      </c>
      <c r="AJ23" s="88">
        <f t="shared" si="5"/>
        <v>107.8</v>
      </c>
      <c r="AK23" s="88">
        <f t="shared" si="6"/>
        <v>106.8</v>
      </c>
      <c r="AL23" s="88">
        <f t="shared" si="7"/>
        <v>107.5</v>
      </c>
      <c r="AM23" s="89"/>
    </row>
    <row r="24" spans="1:39" x14ac:dyDescent="0.3">
      <c r="A24" s="84" t="s">
        <v>33</v>
      </c>
      <c r="B24" s="85">
        <v>2013</v>
      </c>
      <c r="C24" s="85" t="s">
        <v>41</v>
      </c>
      <c r="D24" s="85">
        <v>118.3</v>
      </c>
      <c r="E24" s="85">
        <v>120.4</v>
      </c>
      <c r="F24" s="85">
        <v>112.7</v>
      </c>
      <c r="G24" s="85">
        <v>108.9</v>
      </c>
      <c r="H24" s="85">
        <v>101.1</v>
      </c>
      <c r="I24" s="85">
        <v>108.7</v>
      </c>
      <c r="J24" s="85">
        <v>177</v>
      </c>
      <c r="K24" s="85">
        <v>104.7</v>
      </c>
      <c r="L24" s="85">
        <v>101</v>
      </c>
      <c r="M24" s="85">
        <v>108.5</v>
      </c>
      <c r="N24" s="85">
        <v>110.9</v>
      </c>
      <c r="O24" s="85">
        <v>114.3</v>
      </c>
      <c r="P24" s="85">
        <v>119.6</v>
      </c>
      <c r="Q24" s="85">
        <v>112.4</v>
      </c>
      <c r="R24" s="85">
        <v>110.6</v>
      </c>
      <c r="S24" s="85">
        <v>108.3</v>
      </c>
      <c r="T24" s="85">
        <v>110.2</v>
      </c>
      <c r="U24" s="85">
        <v>108.9</v>
      </c>
      <c r="V24" s="85">
        <v>109.3</v>
      </c>
      <c r="W24" s="85">
        <v>108.7</v>
      </c>
      <c r="X24" s="85">
        <v>107.6</v>
      </c>
      <c r="Y24" s="85">
        <v>108.1</v>
      </c>
      <c r="Z24" s="85">
        <v>106.5</v>
      </c>
      <c r="AA24" s="85">
        <v>110.8</v>
      </c>
      <c r="AB24" s="85">
        <v>106</v>
      </c>
      <c r="AC24" s="85">
        <v>108.3</v>
      </c>
      <c r="AD24" s="85">
        <v>112.7</v>
      </c>
      <c r="AE24" s="85">
        <f t="shared" si="8"/>
        <v>1506.1000000000001</v>
      </c>
      <c r="AF24" s="85">
        <f t="shared" si="1"/>
        <v>112.4</v>
      </c>
      <c r="AG24" s="85">
        <f t="shared" si="2"/>
        <v>329.09999999999997</v>
      </c>
      <c r="AH24" s="85">
        <f t="shared" si="3"/>
        <v>326.89999999999998</v>
      </c>
      <c r="AI24" s="85">
        <f t="shared" si="4"/>
        <v>324.39999999999998</v>
      </c>
      <c r="AJ24" s="85">
        <f t="shared" si="5"/>
        <v>108.1</v>
      </c>
      <c r="AK24" s="85">
        <f t="shared" si="6"/>
        <v>106.5</v>
      </c>
      <c r="AL24" s="85">
        <f t="shared" si="7"/>
        <v>108.3</v>
      </c>
      <c r="AM24" s="86"/>
    </row>
    <row r="25" spans="1:39" x14ac:dyDescent="0.3">
      <c r="A25" s="87" t="s">
        <v>34</v>
      </c>
      <c r="B25" s="88">
        <v>2013</v>
      </c>
      <c r="C25" s="88" t="s">
        <v>41</v>
      </c>
      <c r="D25" s="88">
        <v>115.6</v>
      </c>
      <c r="E25" s="88">
        <v>117.2</v>
      </c>
      <c r="F25" s="88">
        <v>111.7</v>
      </c>
      <c r="G25" s="88">
        <v>109.6</v>
      </c>
      <c r="H25" s="88">
        <v>104.5</v>
      </c>
      <c r="I25" s="88">
        <v>109.8</v>
      </c>
      <c r="J25" s="88">
        <v>151.80000000000001</v>
      </c>
      <c r="K25" s="88">
        <v>106.5</v>
      </c>
      <c r="L25" s="88">
        <v>103.1</v>
      </c>
      <c r="M25" s="88">
        <v>107.4</v>
      </c>
      <c r="N25" s="88">
        <v>110.2</v>
      </c>
      <c r="O25" s="88">
        <v>113.4</v>
      </c>
      <c r="P25" s="88">
        <v>116.6</v>
      </c>
      <c r="Q25" s="88">
        <v>111.2</v>
      </c>
      <c r="R25" s="88">
        <v>111</v>
      </c>
      <c r="S25" s="88">
        <v>109.4</v>
      </c>
      <c r="T25" s="88">
        <v>110.7</v>
      </c>
      <c r="U25" s="88">
        <v>108.9</v>
      </c>
      <c r="V25" s="88">
        <v>109.7</v>
      </c>
      <c r="W25" s="88">
        <v>108.7</v>
      </c>
      <c r="X25" s="88">
        <v>107.5</v>
      </c>
      <c r="Y25" s="88">
        <v>108</v>
      </c>
      <c r="Z25" s="88">
        <v>106.6</v>
      </c>
      <c r="AA25" s="88">
        <v>109.9</v>
      </c>
      <c r="AB25" s="88">
        <v>105.4</v>
      </c>
      <c r="AC25" s="88">
        <v>107.9</v>
      </c>
      <c r="AD25" s="88">
        <v>112.4</v>
      </c>
      <c r="AE25" s="88">
        <f t="shared" si="8"/>
        <v>1477.4</v>
      </c>
      <c r="AF25" s="88">
        <f t="shared" si="1"/>
        <v>111.2</v>
      </c>
      <c r="AG25" s="88">
        <f t="shared" si="2"/>
        <v>331.1</v>
      </c>
      <c r="AH25" s="88">
        <f t="shared" si="3"/>
        <v>327.3</v>
      </c>
      <c r="AI25" s="88">
        <f t="shared" si="4"/>
        <v>322.8</v>
      </c>
      <c r="AJ25" s="88">
        <f t="shared" si="5"/>
        <v>108</v>
      </c>
      <c r="AK25" s="88">
        <f t="shared" si="6"/>
        <v>106.6</v>
      </c>
      <c r="AL25" s="88">
        <f t="shared" si="7"/>
        <v>107.9</v>
      </c>
      <c r="AM25" s="89"/>
    </row>
    <row r="26" spans="1:39" x14ac:dyDescent="0.3">
      <c r="A26" s="84" t="s">
        <v>30</v>
      </c>
      <c r="B26" s="85">
        <v>2013</v>
      </c>
      <c r="C26" s="85" t="s">
        <v>42</v>
      </c>
      <c r="D26" s="85">
        <v>115.4</v>
      </c>
      <c r="E26" s="85">
        <v>115.7</v>
      </c>
      <c r="F26" s="85">
        <v>111.7</v>
      </c>
      <c r="G26" s="85">
        <v>111</v>
      </c>
      <c r="H26" s="85">
        <v>107.4</v>
      </c>
      <c r="I26" s="85">
        <v>110.9</v>
      </c>
      <c r="J26" s="85">
        <v>154</v>
      </c>
      <c r="K26" s="85">
        <v>108.1</v>
      </c>
      <c r="L26" s="85">
        <v>104.2</v>
      </c>
      <c r="M26" s="85">
        <v>107.9</v>
      </c>
      <c r="N26" s="85">
        <v>110.4</v>
      </c>
      <c r="O26" s="85">
        <v>114</v>
      </c>
      <c r="P26" s="85">
        <v>117.8</v>
      </c>
      <c r="Q26" s="85">
        <v>111.7</v>
      </c>
      <c r="R26" s="85">
        <v>112.7</v>
      </c>
      <c r="S26" s="85">
        <v>111.4</v>
      </c>
      <c r="T26" s="85">
        <v>112.5</v>
      </c>
      <c r="U26" s="85" t="s">
        <v>32</v>
      </c>
      <c r="V26" s="85">
        <v>111.1</v>
      </c>
      <c r="W26" s="85">
        <v>109.6</v>
      </c>
      <c r="X26" s="85">
        <v>108.3</v>
      </c>
      <c r="Y26" s="85">
        <v>109.3</v>
      </c>
      <c r="Z26" s="85">
        <v>107.7</v>
      </c>
      <c r="AA26" s="85">
        <v>109.8</v>
      </c>
      <c r="AB26" s="85">
        <v>106.7</v>
      </c>
      <c r="AC26" s="85">
        <v>108.7</v>
      </c>
      <c r="AD26" s="85">
        <v>114.2</v>
      </c>
      <c r="AE26" s="85">
        <f t="shared" si="8"/>
        <v>1488.5000000000002</v>
      </c>
      <c r="AF26" s="85">
        <f t="shared" si="1"/>
        <v>111.7</v>
      </c>
      <c r="AG26" s="85">
        <f t="shared" si="2"/>
        <v>336.6</v>
      </c>
      <c r="AH26" s="85">
        <f t="shared" si="3"/>
        <v>220.7</v>
      </c>
      <c r="AI26" s="85">
        <f t="shared" si="4"/>
        <v>324.8</v>
      </c>
      <c r="AJ26" s="85">
        <f t="shared" si="5"/>
        <v>109.3</v>
      </c>
      <c r="AK26" s="85">
        <f t="shared" si="6"/>
        <v>107.7</v>
      </c>
      <c r="AL26" s="85">
        <f t="shared" si="7"/>
        <v>108.7</v>
      </c>
      <c r="AM26" s="86"/>
    </row>
    <row r="27" spans="1:39" x14ac:dyDescent="0.3">
      <c r="A27" s="87" t="s">
        <v>33</v>
      </c>
      <c r="B27" s="88">
        <v>2013</v>
      </c>
      <c r="C27" s="88" t="s">
        <v>42</v>
      </c>
      <c r="D27" s="88">
        <v>118.6</v>
      </c>
      <c r="E27" s="88">
        <v>119.1</v>
      </c>
      <c r="F27" s="88">
        <v>113.2</v>
      </c>
      <c r="G27" s="88">
        <v>109.6</v>
      </c>
      <c r="H27" s="88">
        <v>101.7</v>
      </c>
      <c r="I27" s="88">
        <v>103.2</v>
      </c>
      <c r="J27" s="88">
        <v>174.3</v>
      </c>
      <c r="K27" s="88">
        <v>105.1</v>
      </c>
      <c r="L27" s="88">
        <v>100.8</v>
      </c>
      <c r="M27" s="88">
        <v>109.1</v>
      </c>
      <c r="N27" s="88">
        <v>111.1</v>
      </c>
      <c r="O27" s="88">
        <v>115.4</v>
      </c>
      <c r="P27" s="88">
        <v>119.2</v>
      </c>
      <c r="Q27" s="88">
        <v>112.9</v>
      </c>
      <c r="R27" s="88">
        <v>111.4</v>
      </c>
      <c r="S27" s="88">
        <v>109</v>
      </c>
      <c r="T27" s="88">
        <v>111.1</v>
      </c>
      <c r="U27" s="88">
        <v>109.7</v>
      </c>
      <c r="V27" s="88">
        <v>109.5</v>
      </c>
      <c r="W27" s="88">
        <v>109.6</v>
      </c>
      <c r="X27" s="88">
        <v>107.9</v>
      </c>
      <c r="Y27" s="88">
        <v>110.4</v>
      </c>
      <c r="Z27" s="88">
        <v>107.4</v>
      </c>
      <c r="AA27" s="88">
        <v>111.2</v>
      </c>
      <c r="AB27" s="88">
        <v>106.9</v>
      </c>
      <c r="AC27" s="88">
        <v>109.4</v>
      </c>
      <c r="AD27" s="88">
        <v>113.2</v>
      </c>
      <c r="AE27" s="88">
        <f t="shared" si="8"/>
        <v>1500.4</v>
      </c>
      <c r="AF27" s="88">
        <f t="shared" si="1"/>
        <v>112.9</v>
      </c>
      <c r="AG27" s="88">
        <f t="shared" si="2"/>
        <v>331.5</v>
      </c>
      <c r="AH27" s="88">
        <f t="shared" si="3"/>
        <v>328.79999999999995</v>
      </c>
      <c r="AI27" s="88">
        <f t="shared" si="4"/>
        <v>326</v>
      </c>
      <c r="AJ27" s="88">
        <f t="shared" si="5"/>
        <v>110.4</v>
      </c>
      <c r="AK27" s="88">
        <f t="shared" si="6"/>
        <v>107.4</v>
      </c>
      <c r="AL27" s="88">
        <f t="shared" si="7"/>
        <v>109.4</v>
      </c>
      <c r="AM27" s="89"/>
    </row>
    <row r="28" spans="1:39" x14ac:dyDescent="0.3">
      <c r="A28" s="84" t="s">
        <v>34</v>
      </c>
      <c r="B28" s="85">
        <v>2013</v>
      </c>
      <c r="C28" s="85" t="s">
        <v>42</v>
      </c>
      <c r="D28" s="85">
        <v>116.4</v>
      </c>
      <c r="E28" s="85">
        <v>116.9</v>
      </c>
      <c r="F28" s="85">
        <v>112.3</v>
      </c>
      <c r="G28" s="85">
        <v>110.5</v>
      </c>
      <c r="H28" s="85">
        <v>105.3</v>
      </c>
      <c r="I28" s="85">
        <v>107.3</v>
      </c>
      <c r="J28" s="85">
        <v>160.9</v>
      </c>
      <c r="K28" s="85">
        <v>107.1</v>
      </c>
      <c r="L28" s="85">
        <v>103.1</v>
      </c>
      <c r="M28" s="85">
        <v>108.3</v>
      </c>
      <c r="N28" s="85">
        <v>110.7</v>
      </c>
      <c r="O28" s="85">
        <v>114.6</v>
      </c>
      <c r="P28" s="85">
        <v>118.3</v>
      </c>
      <c r="Q28" s="85">
        <v>112</v>
      </c>
      <c r="R28" s="85">
        <v>112.2</v>
      </c>
      <c r="S28" s="85">
        <v>110.4</v>
      </c>
      <c r="T28" s="85">
        <v>111.9</v>
      </c>
      <c r="U28" s="85">
        <v>109.7</v>
      </c>
      <c r="V28" s="85">
        <v>110.5</v>
      </c>
      <c r="W28" s="85">
        <v>109.6</v>
      </c>
      <c r="X28" s="85">
        <v>108.1</v>
      </c>
      <c r="Y28" s="85">
        <v>109.9</v>
      </c>
      <c r="Z28" s="85">
        <v>107.5</v>
      </c>
      <c r="AA28" s="85">
        <v>110.6</v>
      </c>
      <c r="AB28" s="85">
        <v>106.8</v>
      </c>
      <c r="AC28" s="85">
        <v>109</v>
      </c>
      <c r="AD28" s="85">
        <v>113.7</v>
      </c>
      <c r="AE28" s="85">
        <f t="shared" si="8"/>
        <v>1491.6999999999998</v>
      </c>
      <c r="AF28" s="85">
        <f t="shared" si="1"/>
        <v>112</v>
      </c>
      <c r="AG28" s="85">
        <f t="shared" si="2"/>
        <v>334.5</v>
      </c>
      <c r="AH28" s="85">
        <f t="shared" si="3"/>
        <v>329.79999999999995</v>
      </c>
      <c r="AI28" s="85">
        <f t="shared" si="4"/>
        <v>325.5</v>
      </c>
      <c r="AJ28" s="85">
        <f t="shared" si="5"/>
        <v>109.9</v>
      </c>
      <c r="AK28" s="85">
        <f t="shared" si="6"/>
        <v>107.5</v>
      </c>
      <c r="AL28" s="85">
        <f t="shared" si="7"/>
        <v>109</v>
      </c>
      <c r="AM28" s="86"/>
    </row>
    <row r="29" spans="1:39" x14ac:dyDescent="0.3">
      <c r="A29" s="87" t="s">
        <v>30</v>
      </c>
      <c r="B29" s="88">
        <v>2013</v>
      </c>
      <c r="C29" s="88" t="s">
        <v>43</v>
      </c>
      <c r="D29" s="88">
        <v>116.3</v>
      </c>
      <c r="E29" s="88">
        <v>115.4</v>
      </c>
      <c r="F29" s="88">
        <v>112.6</v>
      </c>
      <c r="G29" s="88">
        <v>111.7</v>
      </c>
      <c r="H29" s="88">
        <v>107.7</v>
      </c>
      <c r="I29" s="88">
        <v>113.2</v>
      </c>
      <c r="J29" s="88">
        <v>164.9</v>
      </c>
      <c r="K29" s="88">
        <v>108.3</v>
      </c>
      <c r="L29" s="88">
        <v>103.9</v>
      </c>
      <c r="M29" s="88">
        <v>108.2</v>
      </c>
      <c r="N29" s="88">
        <v>111.1</v>
      </c>
      <c r="O29" s="88">
        <v>114.9</v>
      </c>
      <c r="P29" s="88">
        <v>119.8</v>
      </c>
      <c r="Q29" s="88">
        <v>112.2</v>
      </c>
      <c r="R29" s="88">
        <v>113.6</v>
      </c>
      <c r="S29" s="88">
        <v>112.3</v>
      </c>
      <c r="T29" s="88">
        <v>113.4</v>
      </c>
      <c r="U29" s="88" t="s">
        <v>32</v>
      </c>
      <c r="V29" s="88">
        <v>111.6</v>
      </c>
      <c r="W29" s="88">
        <v>110.4</v>
      </c>
      <c r="X29" s="88">
        <v>108.9</v>
      </c>
      <c r="Y29" s="88">
        <v>109.3</v>
      </c>
      <c r="Z29" s="88">
        <v>108.3</v>
      </c>
      <c r="AA29" s="88">
        <v>110.2</v>
      </c>
      <c r="AB29" s="88">
        <v>107.5</v>
      </c>
      <c r="AC29" s="88">
        <v>109.1</v>
      </c>
      <c r="AD29" s="88">
        <v>115.5</v>
      </c>
      <c r="AE29" s="88">
        <f t="shared" si="8"/>
        <v>1508</v>
      </c>
      <c r="AF29" s="88">
        <f t="shared" si="1"/>
        <v>112.2</v>
      </c>
      <c r="AG29" s="88">
        <f t="shared" si="2"/>
        <v>339.29999999999995</v>
      </c>
      <c r="AH29" s="88">
        <f t="shared" si="3"/>
        <v>222</v>
      </c>
      <c r="AI29" s="88">
        <f t="shared" si="4"/>
        <v>326.60000000000002</v>
      </c>
      <c r="AJ29" s="88">
        <f t="shared" si="5"/>
        <v>109.3</v>
      </c>
      <c r="AK29" s="88">
        <f t="shared" si="6"/>
        <v>108.3</v>
      </c>
      <c r="AL29" s="88">
        <f t="shared" si="7"/>
        <v>109.1</v>
      </c>
      <c r="AM29" s="89"/>
    </row>
    <row r="30" spans="1:39" x14ac:dyDescent="0.3">
      <c r="A30" s="84" t="s">
        <v>33</v>
      </c>
      <c r="B30" s="85">
        <v>2013</v>
      </c>
      <c r="C30" s="85" t="s">
        <v>43</v>
      </c>
      <c r="D30" s="85">
        <v>118.9</v>
      </c>
      <c r="E30" s="85">
        <v>118.1</v>
      </c>
      <c r="F30" s="85">
        <v>114.5</v>
      </c>
      <c r="G30" s="85">
        <v>110.4</v>
      </c>
      <c r="H30" s="85">
        <v>102.3</v>
      </c>
      <c r="I30" s="85">
        <v>106.2</v>
      </c>
      <c r="J30" s="85">
        <v>183.5</v>
      </c>
      <c r="K30" s="85">
        <v>105.3</v>
      </c>
      <c r="L30" s="85">
        <v>100.2</v>
      </c>
      <c r="M30" s="85">
        <v>109.6</v>
      </c>
      <c r="N30" s="85">
        <v>111.4</v>
      </c>
      <c r="O30" s="85">
        <v>116</v>
      </c>
      <c r="P30" s="85">
        <v>120.8</v>
      </c>
      <c r="Q30" s="85">
        <v>113.5</v>
      </c>
      <c r="R30" s="85">
        <v>112.5</v>
      </c>
      <c r="S30" s="85">
        <v>109.7</v>
      </c>
      <c r="T30" s="85">
        <v>112</v>
      </c>
      <c r="U30" s="85">
        <v>110.5</v>
      </c>
      <c r="V30" s="85">
        <v>109.7</v>
      </c>
      <c r="W30" s="85">
        <v>110.2</v>
      </c>
      <c r="X30" s="85">
        <v>108.2</v>
      </c>
      <c r="Y30" s="85">
        <v>109.7</v>
      </c>
      <c r="Z30" s="85">
        <v>108</v>
      </c>
      <c r="AA30" s="85">
        <v>111.3</v>
      </c>
      <c r="AB30" s="85">
        <v>107.3</v>
      </c>
      <c r="AC30" s="85">
        <v>109.4</v>
      </c>
      <c r="AD30" s="85">
        <v>114</v>
      </c>
      <c r="AE30" s="85">
        <f t="shared" si="8"/>
        <v>1517.1999999999998</v>
      </c>
      <c r="AF30" s="85">
        <f t="shared" si="1"/>
        <v>113.5</v>
      </c>
      <c r="AG30" s="85">
        <f t="shared" si="2"/>
        <v>334.2</v>
      </c>
      <c r="AH30" s="85">
        <f t="shared" si="3"/>
        <v>330.4</v>
      </c>
      <c r="AI30" s="85">
        <f t="shared" si="4"/>
        <v>326.8</v>
      </c>
      <c r="AJ30" s="85">
        <f t="shared" si="5"/>
        <v>109.7</v>
      </c>
      <c r="AK30" s="85">
        <f t="shared" si="6"/>
        <v>108</v>
      </c>
      <c r="AL30" s="85">
        <f t="shared" si="7"/>
        <v>109.4</v>
      </c>
      <c r="AM30" s="86"/>
    </row>
    <row r="31" spans="1:39" x14ac:dyDescent="0.3">
      <c r="A31" s="87" t="s">
        <v>34</v>
      </c>
      <c r="B31" s="88">
        <v>2013</v>
      </c>
      <c r="C31" s="88" t="s">
        <v>43</v>
      </c>
      <c r="D31" s="88">
        <v>117.1</v>
      </c>
      <c r="E31" s="88">
        <v>116.3</v>
      </c>
      <c r="F31" s="88">
        <v>113.3</v>
      </c>
      <c r="G31" s="88">
        <v>111.2</v>
      </c>
      <c r="H31" s="88">
        <v>105.7</v>
      </c>
      <c r="I31" s="88">
        <v>109.9</v>
      </c>
      <c r="J31" s="88">
        <v>171.2</v>
      </c>
      <c r="K31" s="88">
        <v>107.3</v>
      </c>
      <c r="L31" s="88">
        <v>102.7</v>
      </c>
      <c r="M31" s="88">
        <v>108.7</v>
      </c>
      <c r="N31" s="88">
        <v>111.2</v>
      </c>
      <c r="O31" s="88">
        <v>115.4</v>
      </c>
      <c r="P31" s="88">
        <v>120.2</v>
      </c>
      <c r="Q31" s="88">
        <v>112.5</v>
      </c>
      <c r="R31" s="88">
        <v>113.2</v>
      </c>
      <c r="S31" s="88">
        <v>111.2</v>
      </c>
      <c r="T31" s="88">
        <v>112.8</v>
      </c>
      <c r="U31" s="88">
        <v>110.5</v>
      </c>
      <c r="V31" s="88">
        <v>110.9</v>
      </c>
      <c r="W31" s="88">
        <v>110.3</v>
      </c>
      <c r="X31" s="88">
        <v>108.6</v>
      </c>
      <c r="Y31" s="88">
        <v>109.5</v>
      </c>
      <c r="Z31" s="88">
        <v>108.1</v>
      </c>
      <c r="AA31" s="88">
        <v>110.8</v>
      </c>
      <c r="AB31" s="88">
        <v>107.4</v>
      </c>
      <c r="AC31" s="88">
        <v>109.2</v>
      </c>
      <c r="AD31" s="88">
        <v>114.8</v>
      </c>
      <c r="AE31" s="88">
        <f t="shared" si="8"/>
        <v>1510.2000000000003</v>
      </c>
      <c r="AF31" s="88">
        <f t="shared" si="1"/>
        <v>112.5</v>
      </c>
      <c r="AG31" s="88">
        <f t="shared" si="2"/>
        <v>337.2</v>
      </c>
      <c r="AH31" s="88">
        <f t="shared" si="3"/>
        <v>331.7</v>
      </c>
      <c r="AI31" s="88">
        <f t="shared" si="4"/>
        <v>326.79999999999995</v>
      </c>
      <c r="AJ31" s="88">
        <f t="shared" si="5"/>
        <v>109.5</v>
      </c>
      <c r="AK31" s="88">
        <f t="shared" si="6"/>
        <v>108.1</v>
      </c>
      <c r="AL31" s="88">
        <f t="shared" si="7"/>
        <v>109.2</v>
      </c>
      <c r="AM31" s="89"/>
    </row>
    <row r="32" spans="1:39" x14ac:dyDescent="0.3">
      <c r="A32" s="84" t="s">
        <v>30</v>
      </c>
      <c r="B32" s="85">
        <v>2013</v>
      </c>
      <c r="C32" s="85" t="s">
        <v>44</v>
      </c>
      <c r="D32" s="85">
        <v>117.3</v>
      </c>
      <c r="E32" s="85">
        <v>114.9</v>
      </c>
      <c r="F32" s="85">
        <v>116.2</v>
      </c>
      <c r="G32" s="85">
        <v>112.8</v>
      </c>
      <c r="H32" s="85">
        <v>108.9</v>
      </c>
      <c r="I32" s="85">
        <v>116.6</v>
      </c>
      <c r="J32" s="85">
        <v>178.1</v>
      </c>
      <c r="K32" s="85">
        <v>109.1</v>
      </c>
      <c r="L32" s="85">
        <v>103.6</v>
      </c>
      <c r="M32" s="85">
        <v>109</v>
      </c>
      <c r="N32" s="85">
        <v>111.8</v>
      </c>
      <c r="O32" s="85">
        <v>116</v>
      </c>
      <c r="P32" s="85">
        <v>122.5</v>
      </c>
      <c r="Q32" s="85">
        <v>112.8</v>
      </c>
      <c r="R32" s="85">
        <v>114.6</v>
      </c>
      <c r="S32" s="85">
        <v>113.1</v>
      </c>
      <c r="T32" s="85">
        <v>114.4</v>
      </c>
      <c r="U32" s="85" t="s">
        <v>32</v>
      </c>
      <c r="V32" s="85">
        <v>112.6</v>
      </c>
      <c r="W32" s="85">
        <v>111.3</v>
      </c>
      <c r="X32" s="85">
        <v>109.7</v>
      </c>
      <c r="Y32" s="85">
        <v>109.6</v>
      </c>
      <c r="Z32" s="85">
        <v>108.7</v>
      </c>
      <c r="AA32" s="85">
        <v>111</v>
      </c>
      <c r="AB32" s="85">
        <v>108.2</v>
      </c>
      <c r="AC32" s="85">
        <v>109.8</v>
      </c>
      <c r="AD32" s="85">
        <v>117.4</v>
      </c>
      <c r="AE32" s="85">
        <f t="shared" si="8"/>
        <v>1536.8</v>
      </c>
      <c r="AF32" s="85">
        <f t="shared" si="1"/>
        <v>112.8</v>
      </c>
      <c r="AG32" s="85">
        <f t="shared" si="2"/>
        <v>342.1</v>
      </c>
      <c r="AH32" s="85">
        <f t="shared" si="3"/>
        <v>223.89999999999998</v>
      </c>
      <c r="AI32" s="85">
        <f t="shared" si="4"/>
        <v>328.9</v>
      </c>
      <c r="AJ32" s="85">
        <f t="shared" si="5"/>
        <v>109.6</v>
      </c>
      <c r="AK32" s="85">
        <f t="shared" si="6"/>
        <v>108.7</v>
      </c>
      <c r="AL32" s="85">
        <f t="shared" si="7"/>
        <v>109.8</v>
      </c>
      <c r="AM32" s="86"/>
    </row>
    <row r="33" spans="1:39" x14ac:dyDescent="0.3">
      <c r="A33" s="87" t="s">
        <v>33</v>
      </c>
      <c r="B33" s="88">
        <v>2013</v>
      </c>
      <c r="C33" s="88" t="s">
        <v>45</v>
      </c>
      <c r="D33" s="88">
        <v>119.8</v>
      </c>
      <c r="E33" s="88">
        <v>116.3</v>
      </c>
      <c r="F33" s="88">
        <v>122.6</v>
      </c>
      <c r="G33" s="88">
        <v>112</v>
      </c>
      <c r="H33" s="88">
        <v>103.2</v>
      </c>
      <c r="I33" s="88">
        <v>110</v>
      </c>
      <c r="J33" s="88">
        <v>192.8</v>
      </c>
      <c r="K33" s="88">
        <v>106.3</v>
      </c>
      <c r="L33" s="88">
        <v>99.5</v>
      </c>
      <c r="M33" s="88">
        <v>110.3</v>
      </c>
      <c r="N33" s="88">
        <v>111.8</v>
      </c>
      <c r="O33" s="88">
        <v>117.1</v>
      </c>
      <c r="P33" s="88">
        <v>122.9</v>
      </c>
      <c r="Q33" s="88">
        <v>114.1</v>
      </c>
      <c r="R33" s="88">
        <v>113.5</v>
      </c>
      <c r="S33" s="88">
        <v>110.3</v>
      </c>
      <c r="T33" s="88">
        <v>113</v>
      </c>
      <c r="U33" s="88">
        <v>111.1</v>
      </c>
      <c r="V33" s="88">
        <v>110</v>
      </c>
      <c r="W33" s="88">
        <v>110.9</v>
      </c>
      <c r="X33" s="88">
        <v>108.6</v>
      </c>
      <c r="Y33" s="88">
        <v>109.5</v>
      </c>
      <c r="Z33" s="88">
        <v>108.5</v>
      </c>
      <c r="AA33" s="88">
        <v>111.3</v>
      </c>
      <c r="AB33" s="88">
        <v>107.9</v>
      </c>
      <c r="AC33" s="88">
        <v>109.6</v>
      </c>
      <c r="AD33" s="88">
        <v>115</v>
      </c>
      <c r="AE33" s="88">
        <f t="shared" si="8"/>
        <v>1544.6</v>
      </c>
      <c r="AF33" s="88">
        <f t="shared" si="1"/>
        <v>114.1</v>
      </c>
      <c r="AG33" s="88">
        <f t="shared" si="2"/>
        <v>336.8</v>
      </c>
      <c r="AH33" s="88">
        <f t="shared" si="3"/>
        <v>332</v>
      </c>
      <c r="AI33" s="88">
        <f t="shared" si="4"/>
        <v>327.79999999999995</v>
      </c>
      <c r="AJ33" s="88">
        <f t="shared" si="5"/>
        <v>109.5</v>
      </c>
      <c r="AK33" s="88">
        <f t="shared" si="6"/>
        <v>108.5</v>
      </c>
      <c r="AL33" s="88">
        <f t="shared" si="7"/>
        <v>109.6</v>
      </c>
      <c r="AM33" s="89"/>
    </row>
    <row r="34" spans="1:39" x14ac:dyDescent="0.3">
      <c r="A34" s="84" t="s">
        <v>34</v>
      </c>
      <c r="B34" s="85">
        <v>2013</v>
      </c>
      <c r="C34" s="85" t="s">
        <v>45</v>
      </c>
      <c r="D34" s="85">
        <v>118.1</v>
      </c>
      <c r="E34" s="85">
        <v>115.4</v>
      </c>
      <c r="F34" s="85">
        <v>118.7</v>
      </c>
      <c r="G34" s="85">
        <v>112.5</v>
      </c>
      <c r="H34" s="85">
        <v>106.8</v>
      </c>
      <c r="I34" s="85">
        <v>113.5</v>
      </c>
      <c r="J34" s="85">
        <v>183.1</v>
      </c>
      <c r="K34" s="85">
        <v>108.2</v>
      </c>
      <c r="L34" s="85">
        <v>102.2</v>
      </c>
      <c r="M34" s="85">
        <v>109.4</v>
      </c>
      <c r="N34" s="85">
        <v>111.8</v>
      </c>
      <c r="O34" s="85">
        <v>116.5</v>
      </c>
      <c r="P34" s="85">
        <v>122.6</v>
      </c>
      <c r="Q34" s="85">
        <v>113.1</v>
      </c>
      <c r="R34" s="85">
        <v>114.2</v>
      </c>
      <c r="S34" s="85">
        <v>111.9</v>
      </c>
      <c r="T34" s="85">
        <v>113.8</v>
      </c>
      <c r="U34" s="85">
        <v>111.1</v>
      </c>
      <c r="V34" s="85">
        <v>111.6</v>
      </c>
      <c r="W34" s="85">
        <v>111.1</v>
      </c>
      <c r="X34" s="85">
        <v>109.3</v>
      </c>
      <c r="Y34" s="85">
        <v>109.5</v>
      </c>
      <c r="Z34" s="85">
        <v>108.6</v>
      </c>
      <c r="AA34" s="85">
        <v>111.2</v>
      </c>
      <c r="AB34" s="85">
        <v>108.1</v>
      </c>
      <c r="AC34" s="85">
        <v>109.7</v>
      </c>
      <c r="AD34" s="85">
        <v>116.3</v>
      </c>
      <c r="AE34" s="85">
        <f t="shared" si="8"/>
        <v>1538.8</v>
      </c>
      <c r="AF34" s="85">
        <f t="shared" si="1"/>
        <v>113.1</v>
      </c>
      <c r="AG34" s="85">
        <f t="shared" si="2"/>
        <v>339.90000000000003</v>
      </c>
      <c r="AH34" s="85">
        <f t="shared" si="3"/>
        <v>333.79999999999995</v>
      </c>
      <c r="AI34" s="85">
        <f t="shared" si="4"/>
        <v>328.6</v>
      </c>
      <c r="AJ34" s="85">
        <f t="shared" si="5"/>
        <v>109.5</v>
      </c>
      <c r="AK34" s="85">
        <f t="shared" si="6"/>
        <v>108.6</v>
      </c>
      <c r="AL34" s="85">
        <f t="shared" si="7"/>
        <v>109.7</v>
      </c>
      <c r="AM34" s="86"/>
    </row>
    <row r="35" spans="1:39" x14ac:dyDescent="0.3">
      <c r="A35" s="87" t="s">
        <v>30</v>
      </c>
      <c r="B35" s="88">
        <v>2013</v>
      </c>
      <c r="C35" s="88" t="s">
        <v>46</v>
      </c>
      <c r="D35" s="88">
        <v>118.4</v>
      </c>
      <c r="E35" s="88">
        <v>115.9</v>
      </c>
      <c r="F35" s="88">
        <v>120.4</v>
      </c>
      <c r="G35" s="88">
        <v>113.8</v>
      </c>
      <c r="H35" s="88">
        <v>109.5</v>
      </c>
      <c r="I35" s="88">
        <v>115.5</v>
      </c>
      <c r="J35" s="88">
        <v>145.69999999999999</v>
      </c>
      <c r="K35" s="88">
        <v>109.5</v>
      </c>
      <c r="L35" s="88">
        <v>102.9</v>
      </c>
      <c r="M35" s="88">
        <v>109.8</v>
      </c>
      <c r="N35" s="88">
        <v>112.1</v>
      </c>
      <c r="O35" s="88">
        <v>116.8</v>
      </c>
      <c r="P35" s="88">
        <v>118.7</v>
      </c>
      <c r="Q35" s="88">
        <v>113.6</v>
      </c>
      <c r="R35" s="88">
        <v>115.8</v>
      </c>
      <c r="S35" s="88">
        <v>114</v>
      </c>
      <c r="T35" s="88">
        <v>115.5</v>
      </c>
      <c r="U35" s="88" t="s">
        <v>32</v>
      </c>
      <c r="V35" s="88">
        <v>112.8</v>
      </c>
      <c r="W35" s="88">
        <v>112.1</v>
      </c>
      <c r="X35" s="88">
        <v>110.1</v>
      </c>
      <c r="Y35" s="88">
        <v>109.9</v>
      </c>
      <c r="Z35" s="88">
        <v>109.2</v>
      </c>
      <c r="AA35" s="88">
        <v>111.6</v>
      </c>
      <c r="AB35" s="88">
        <v>108.1</v>
      </c>
      <c r="AC35" s="88">
        <v>110.1</v>
      </c>
      <c r="AD35" s="88">
        <v>115.5</v>
      </c>
      <c r="AE35" s="88">
        <f t="shared" si="8"/>
        <v>1509</v>
      </c>
      <c r="AF35" s="88">
        <f t="shared" si="1"/>
        <v>113.6</v>
      </c>
      <c r="AG35" s="88">
        <f t="shared" si="2"/>
        <v>345.3</v>
      </c>
      <c r="AH35" s="88">
        <f t="shared" si="3"/>
        <v>224.89999999999998</v>
      </c>
      <c r="AI35" s="88">
        <f t="shared" si="4"/>
        <v>329.79999999999995</v>
      </c>
      <c r="AJ35" s="88">
        <f t="shared" si="5"/>
        <v>109.9</v>
      </c>
      <c r="AK35" s="88">
        <f t="shared" si="6"/>
        <v>109.2</v>
      </c>
      <c r="AL35" s="88">
        <f t="shared" si="7"/>
        <v>110.1</v>
      </c>
      <c r="AM35" s="89"/>
    </row>
    <row r="36" spans="1:39" x14ac:dyDescent="0.3">
      <c r="A36" s="84" t="s">
        <v>33</v>
      </c>
      <c r="B36" s="85">
        <v>2013</v>
      </c>
      <c r="C36" s="85" t="s">
        <v>46</v>
      </c>
      <c r="D36" s="85">
        <v>120.5</v>
      </c>
      <c r="E36" s="85">
        <v>118.1</v>
      </c>
      <c r="F36" s="85">
        <v>128.5</v>
      </c>
      <c r="G36" s="85">
        <v>112.8</v>
      </c>
      <c r="H36" s="85">
        <v>103.4</v>
      </c>
      <c r="I36" s="85">
        <v>110.7</v>
      </c>
      <c r="J36" s="85">
        <v>144.80000000000001</v>
      </c>
      <c r="K36" s="85">
        <v>107.1</v>
      </c>
      <c r="L36" s="85">
        <v>98.6</v>
      </c>
      <c r="M36" s="85">
        <v>111.9</v>
      </c>
      <c r="N36" s="85">
        <v>112.1</v>
      </c>
      <c r="O36" s="85">
        <v>118.1</v>
      </c>
      <c r="P36" s="85">
        <v>117.8</v>
      </c>
      <c r="Q36" s="85">
        <v>115</v>
      </c>
      <c r="R36" s="85">
        <v>114.2</v>
      </c>
      <c r="S36" s="85">
        <v>110.9</v>
      </c>
      <c r="T36" s="85">
        <v>113.7</v>
      </c>
      <c r="U36" s="85">
        <v>110.7</v>
      </c>
      <c r="V36" s="85">
        <v>110.4</v>
      </c>
      <c r="W36" s="85">
        <v>111.3</v>
      </c>
      <c r="X36" s="85">
        <v>109</v>
      </c>
      <c r="Y36" s="85">
        <v>109.7</v>
      </c>
      <c r="Z36" s="85">
        <v>108.9</v>
      </c>
      <c r="AA36" s="85">
        <v>111.4</v>
      </c>
      <c r="AB36" s="85">
        <v>107.7</v>
      </c>
      <c r="AC36" s="85">
        <v>109.8</v>
      </c>
      <c r="AD36" s="85">
        <v>113.3</v>
      </c>
      <c r="AE36" s="85">
        <f t="shared" si="8"/>
        <v>1504.4</v>
      </c>
      <c r="AF36" s="85">
        <f t="shared" si="1"/>
        <v>115</v>
      </c>
      <c r="AG36" s="85">
        <f t="shared" si="2"/>
        <v>338.8</v>
      </c>
      <c r="AH36" s="85">
        <f t="shared" si="3"/>
        <v>332.40000000000003</v>
      </c>
      <c r="AI36" s="85">
        <f t="shared" si="4"/>
        <v>328.1</v>
      </c>
      <c r="AJ36" s="85">
        <f t="shared" si="5"/>
        <v>109.7</v>
      </c>
      <c r="AK36" s="85">
        <f t="shared" si="6"/>
        <v>108.9</v>
      </c>
      <c r="AL36" s="85">
        <f t="shared" si="7"/>
        <v>109.8</v>
      </c>
      <c r="AM36" s="86"/>
    </row>
    <row r="37" spans="1:39" x14ac:dyDescent="0.3">
      <c r="A37" s="87" t="s">
        <v>34</v>
      </c>
      <c r="B37" s="88">
        <v>2013</v>
      </c>
      <c r="C37" s="88" t="s">
        <v>46</v>
      </c>
      <c r="D37" s="88">
        <v>119.1</v>
      </c>
      <c r="E37" s="88">
        <v>116.7</v>
      </c>
      <c r="F37" s="88">
        <v>123.5</v>
      </c>
      <c r="G37" s="88">
        <v>113.4</v>
      </c>
      <c r="H37" s="88">
        <v>107.3</v>
      </c>
      <c r="I37" s="88">
        <v>113.3</v>
      </c>
      <c r="J37" s="88">
        <v>145.4</v>
      </c>
      <c r="K37" s="88">
        <v>108.7</v>
      </c>
      <c r="L37" s="88">
        <v>101.5</v>
      </c>
      <c r="M37" s="88">
        <v>110.5</v>
      </c>
      <c r="N37" s="88">
        <v>112.1</v>
      </c>
      <c r="O37" s="88">
        <v>117.4</v>
      </c>
      <c r="P37" s="88">
        <v>118.4</v>
      </c>
      <c r="Q37" s="88">
        <v>114</v>
      </c>
      <c r="R37" s="88">
        <v>115.2</v>
      </c>
      <c r="S37" s="88">
        <v>112.7</v>
      </c>
      <c r="T37" s="88">
        <v>114.8</v>
      </c>
      <c r="U37" s="88">
        <v>110.7</v>
      </c>
      <c r="V37" s="88">
        <v>111.9</v>
      </c>
      <c r="W37" s="88">
        <v>111.7</v>
      </c>
      <c r="X37" s="88">
        <v>109.7</v>
      </c>
      <c r="Y37" s="88">
        <v>109.8</v>
      </c>
      <c r="Z37" s="88">
        <v>109</v>
      </c>
      <c r="AA37" s="88">
        <v>111.5</v>
      </c>
      <c r="AB37" s="88">
        <v>107.9</v>
      </c>
      <c r="AC37" s="88">
        <v>110</v>
      </c>
      <c r="AD37" s="88">
        <v>114.5</v>
      </c>
      <c r="AE37" s="88">
        <f t="shared" si="8"/>
        <v>1507.3000000000002</v>
      </c>
      <c r="AF37" s="88">
        <f t="shared" si="1"/>
        <v>114</v>
      </c>
      <c r="AG37" s="88">
        <f t="shared" si="2"/>
        <v>342.7</v>
      </c>
      <c r="AH37" s="88">
        <f t="shared" si="3"/>
        <v>334.3</v>
      </c>
      <c r="AI37" s="88">
        <f t="shared" si="4"/>
        <v>329.1</v>
      </c>
      <c r="AJ37" s="88">
        <f t="shared" si="5"/>
        <v>109.8</v>
      </c>
      <c r="AK37" s="88">
        <f t="shared" si="6"/>
        <v>109</v>
      </c>
      <c r="AL37" s="88">
        <f t="shared" si="7"/>
        <v>110</v>
      </c>
      <c r="AM37" s="89"/>
    </row>
    <row r="38" spans="1:39" x14ac:dyDescent="0.3">
      <c r="A38" s="84" t="s">
        <v>30</v>
      </c>
      <c r="B38" s="85">
        <v>2014</v>
      </c>
      <c r="C38" s="85" t="s">
        <v>31</v>
      </c>
      <c r="D38" s="85">
        <v>118.9</v>
      </c>
      <c r="E38" s="85">
        <v>117.1</v>
      </c>
      <c r="F38" s="85">
        <v>120.5</v>
      </c>
      <c r="G38" s="85">
        <v>114.4</v>
      </c>
      <c r="H38" s="85">
        <v>109</v>
      </c>
      <c r="I38" s="85">
        <v>115.5</v>
      </c>
      <c r="J38" s="85">
        <v>123.9</v>
      </c>
      <c r="K38" s="85">
        <v>109.6</v>
      </c>
      <c r="L38" s="85">
        <v>101.8</v>
      </c>
      <c r="M38" s="85">
        <v>110.2</v>
      </c>
      <c r="N38" s="85">
        <v>112.4</v>
      </c>
      <c r="O38" s="85">
        <v>117.3</v>
      </c>
      <c r="P38" s="85">
        <v>116</v>
      </c>
      <c r="Q38" s="85">
        <v>114</v>
      </c>
      <c r="R38" s="85">
        <v>116.5</v>
      </c>
      <c r="S38" s="85">
        <v>114.5</v>
      </c>
      <c r="T38" s="85">
        <v>116.2</v>
      </c>
      <c r="U38" s="85" t="s">
        <v>32</v>
      </c>
      <c r="V38" s="85">
        <v>113</v>
      </c>
      <c r="W38" s="85">
        <v>112.6</v>
      </c>
      <c r="X38" s="85">
        <v>110.6</v>
      </c>
      <c r="Y38" s="85">
        <v>110.5</v>
      </c>
      <c r="Z38" s="85">
        <v>109.6</v>
      </c>
      <c r="AA38" s="85">
        <v>111.8</v>
      </c>
      <c r="AB38" s="85">
        <v>108.3</v>
      </c>
      <c r="AC38" s="85">
        <v>110.6</v>
      </c>
      <c r="AD38" s="85">
        <v>114.2</v>
      </c>
      <c r="AE38" s="85">
        <f t="shared" si="8"/>
        <v>1486.6000000000001</v>
      </c>
      <c r="AF38" s="85">
        <f t="shared" si="1"/>
        <v>114</v>
      </c>
      <c r="AG38" s="85">
        <f t="shared" si="2"/>
        <v>347.2</v>
      </c>
      <c r="AH38" s="85">
        <f t="shared" si="3"/>
        <v>225.6</v>
      </c>
      <c r="AI38" s="85">
        <f t="shared" si="4"/>
        <v>330.7</v>
      </c>
      <c r="AJ38" s="85">
        <f t="shared" si="5"/>
        <v>110.5</v>
      </c>
      <c r="AK38" s="85">
        <f t="shared" si="6"/>
        <v>109.6</v>
      </c>
      <c r="AL38" s="85">
        <f t="shared" si="7"/>
        <v>110.6</v>
      </c>
      <c r="AM38" s="86"/>
    </row>
    <row r="39" spans="1:39" x14ac:dyDescent="0.3">
      <c r="A39" s="87" t="s">
        <v>33</v>
      </c>
      <c r="B39" s="88">
        <v>2014</v>
      </c>
      <c r="C39" s="88" t="s">
        <v>31</v>
      </c>
      <c r="D39" s="88">
        <v>121.2</v>
      </c>
      <c r="E39" s="88">
        <v>122</v>
      </c>
      <c r="F39" s="88">
        <v>129.9</v>
      </c>
      <c r="G39" s="88">
        <v>113.6</v>
      </c>
      <c r="H39" s="88">
        <v>102.9</v>
      </c>
      <c r="I39" s="88">
        <v>112.1</v>
      </c>
      <c r="J39" s="88">
        <v>118.9</v>
      </c>
      <c r="K39" s="88">
        <v>107.5</v>
      </c>
      <c r="L39" s="88">
        <v>96.9</v>
      </c>
      <c r="M39" s="88">
        <v>112.7</v>
      </c>
      <c r="N39" s="88">
        <v>112.1</v>
      </c>
      <c r="O39" s="88">
        <v>119</v>
      </c>
      <c r="P39" s="88">
        <v>115.5</v>
      </c>
      <c r="Q39" s="88">
        <v>115.7</v>
      </c>
      <c r="R39" s="88">
        <v>114.8</v>
      </c>
      <c r="S39" s="88">
        <v>111.3</v>
      </c>
      <c r="T39" s="88">
        <v>114.3</v>
      </c>
      <c r="U39" s="88">
        <v>111.6</v>
      </c>
      <c r="V39" s="88">
        <v>111</v>
      </c>
      <c r="W39" s="88">
        <v>111.9</v>
      </c>
      <c r="X39" s="88">
        <v>109.7</v>
      </c>
      <c r="Y39" s="88">
        <v>110.8</v>
      </c>
      <c r="Z39" s="88">
        <v>109.8</v>
      </c>
      <c r="AA39" s="88">
        <v>111.5</v>
      </c>
      <c r="AB39" s="88">
        <v>108</v>
      </c>
      <c r="AC39" s="88">
        <v>110.5</v>
      </c>
      <c r="AD39" s="88">
        <v>112.9</v>
      </c>
      <c r="AE39" s="88">
        <f t="shared" si="8"/>
        <v>1484.3</v>
      </c>
      <c r="AF39" s="88">
        <f t="shared" si="1"/>
        <v>115.7</v>
      </c>
      <c r="AG39" s="88">
        <f t="shared" si="2"/>
        <v>340.4</v>
      </c>
      <c r="AH39" s="88">
        <f t="shared" si="3"/>
        <v>334.5</v>
      </c>
      <c r="AI39" s="88">
        <f t="shared" si="4"/>
        <v>329.2</v>
      </c>
      <c r="AJ39" s="88">
        <f t="shared" si="5"/>
        <v>110.8</v>
      </c>
      <c r="AK39" s="88">
        <f t="shared" si="6"/>
        <v>109.8</v>
      </c>
      <c r="AL39" s="88">
        <f t="shared" si="7"/>
        <v>110.5</v>
      </c>
      <c r="AM39" s="89"/>
    </row>
    <row r="40" spans="1:39" x14ac:dyDescent="0.3">
      <c r="A40" s="84" t="s">
        <v>34</v>
      </c>
      <c r="B40" s="85">
        <v>2014</v>
      </c>
      <c r="C40" s="85" t="s">
        <v>31</v>
      </c>
      <c r="D40" s="85">
        <v>119.6</v>
      </c>
      <c r="E40" s="85">
        <v>118.8</v>
      </c>
      <c r="F40" s="85">
        <v>124.1</v>
      </c>
      <c r="G40" s="85">
        <v>114.1</v>
      </c>
      <c r="H40" s="85">
        <v>106.8</v>
      </c>
      <c r="I40" s="85">
        <v>113.9</v>
      </c>
      <c r="J40" s="85">
        <v>122.2</v>
      </c>
      <c r="K40" s="85">
        <v>108.9</v>
      </c>
      <c r="L40" s="85">
        <v>100.2</v>
      </c>
      <c r="M40" s="85">
        <v>111</v>
      </c>
      <c r="N40" s="85">
        <v>112.3</v>
      </c>
      <c r="O40" s="85">
        <v>118.1</v>
      </c>
      <c r="P40" s="85">
        <v>115.8</v>
      </c>
      <c r="Q40" s="85">
        <v>114.5</v>
      </c>
      <c r="R40" s="85">
        <v>115.8</v>
      </c>
      <c r="S40" s="85">
        <v>113.2</v>
      </c>
      <c r="T40" s="85">
        <v>115.4</v>
      </c>
      <c r="U40" s="85">
        <v>111.6</v>
      </c>
      <c r="V40" s="85">
        <v>112.2</v>
      </c>
      <c r="W40" s="85">
        <v>112.3</v>
      </c>
      <c r="X40" s="85">
        <v>110.3</v>
      </c>
      <c r="Y40" s="85">
        <v>110.7</v>
      </c>
      <c r="Z40" s="85">
        <v>109.7</v>
      </c>
      <c r="AA40" s="85">
        <v>111.6</v>
      </c>
      <c r="AB40" s="85">
        <v>108.2</v>
      </c>
      <c r="AC40" s="85">
        <v>110.6</v>
      </c>
      <c r="AD40" s="85">
        <v>113.6</v>
      </c>
      <c r="AE40" s="85">
        <f t="shared" si="8"/>
        <v>1485.7999999999997</v>
      </c>
      <c r="AF40" s="85">
        <f t="shared" si="1"/>
        <v>114.5</v>
      </c>
      <c r="AG40" s="85">
        <f t="shared" si="2"/>
        <v>344.4</v>
      </c>
      <c r="AH40" s="85">
        <f t="shared" si="3"/>
        <v>336.1</v>
      </c>
      <c r="AI40" s="85">
        <f t="shared" si="4"/>
        <v>330.09999999999997</v>
      </c>
      <c r="AJ40" s="85">
        <f t="shared" si="5"/>
        <v>110.7</v>
      </c>
      <c r="AK40" s="85">
        <f t="shared" si="6"/>
        <v>109.7</v>
      </c>
      <c r="AL40" s="85">
        <f t="shared" si="7"/>
        <v>110.6</v>
      </c>
      <c r="AM40" s="86"/>
    </row>
    <row r="41" spans="1:39" x14ac:dyDescent="0.3">
      <c r="A41" s="87" t="s">
        <v>30</v>
      </c>
      <c r="B41" s="88">
        <v>2014</v>
      </c>
      <c r="C41" s="88" t="s">
        <v>35</v>
      </c>
      <c r="D41" s="88">
        <v>119.4</v>
      </c>
      <c r="E41" s="88">
        <v>117.7</v>
      </c>
      <c r="F41" s="88">
        <v>121.2</v>
      </c>
      <c r="G41" s="88">
        <v>115</v>
      </c>
      <c r="H41" s="88">
        <v>109</v>
      </c>
      <c r="I41" s="88">
        <v>116.6</v>
      </c>
      <c r="J41" s="88">
        <v>116</v>
      </c>
      <c r="K41" s="88">
        <v>109.8</v>
      </c>
      <c r="L41" s="88">
        <v>101.1</v>
      </c>
      <c r="M41" s="88">
        <v>110.4</v>
      </c>
      <c r="N41" s="88">
        <v>112.9</v>
      </c>
      <c r="O41" s="88">
        <v>117.8</v>
      </c>
      <c r="P41" s="88">
        <v>115.3</v>
      </c>
      <c r="Q41" s="88">
        <v>114.2</v>
      </c>
      <c r="R41" s="88">
        <v>117.1</v>
      </c>
      <c r="S41" s="88">
        <v>114.5</v>
      </c>
      <c r="T41" s="88">
        <v>116.7</v>
      </c>
      <c r="U41" s="88" t="s">
        <v>32</v>
      </c>
      <c r="V41" s="88">
        <v>113.2</v>
      </c>
      <c r="W41" s="88">
        <v>112.9</v>
      </c>
      <c r="X41" s="88">
        <v>110.9</v>
      </c>
      <c r="Y41" s="88">
        <v>110.8</v>
      </c>
      <c r="Z41" s="88">
        <v>109.9</v>
      </c>
      <c r="AA41" s="88">
        <v>112</v>
      </c>
      <c r="AB41" s="88">
        <v>108.7</v>
      </c>
      <c r="AC41" s="88">
        <v>110.9</v>
      </c>
      <c r="AD41" s="88">
        <v>114</v>
      </c>
      <c r="AE41" s="88">
        <f t="shared" si="8"/>
        <v>1482.2</v>
      </c>
      <c r="AF41" s="88">
        <f t="shared" si="1"/>
        <v>114.2</v>
      </c>
      <c r="AG41" s="88">
        <f t="shared" si="2"/>
        <v>348.3</v>
      </c>
      <c r="AH41" s="88">
        <f t="shared" si="3"/>
        <v>226.10000000000002</v>
      </c>
      <c r="AI41" s="88">
        <f t="shared" si="4"/>
        <v>331.6</v>
      </c>
      <c r="AJ41" s="88">
        <f t="shared" si="5"/>
        <v>110.8</v>
      </c>
      <c r="AK41" s="88">
        <f t="shared" si="6"/>
        <v>109.9</v>
      </c>
      <c r="AL41" s="88">
        <f t="shared" si="7"/>
        <v>110.9</v>
      </c>
      <c r="AM41" s="89"/>
    </row>
    <row r="42" spans="1:39" x14ac:dyDescent="0.3">
      <c r="A42" s="84" t="s">
        <v>33</v>
      </c>
      <c r="B42" s="85">
        <v>2014</v>
      </c>
      <c r="C42" s="85" t="s">
        <v>35</v>
      </c>
      <c r="D42" s="85">
        <v>121.9</v>
      </c>
      <c r="E42" s="85">
        <v>122</v>
      </c>
      <c r="F42" s="85">
        <v>124.5</v>
      </c>
      <c r="G42" s="85">
        <v>115.2</v>
      </c>
      <c r="H42" s="85">
        <v>102.5</v>
      </c>
      <c r="I42" s="85">
        <v>114.1</v>
      </c>
      <c r="J42" s="85">
        <v>111.5</v>
      </c>
      <c r="K42" s="85">
        <v>108.2</v>
      </c>
      <c r="L42" s="85">
        <v>95.4</v>
      </c>
      <c r="M42" s="85">
        <v>113.5</v>
      </c>
      <c r="N42" s="85">
        <v>112.1</v>
      </c>
      <c r="O42" s="85">
        <v>119.9</v>
      </c>
      <c r="P42" s="85">
        <v>115.2</v>
      </c>
      <c r="Q42" s="85">
        <v>116.2</v>
      </c>
      <c r="R42" s="85">
        <v>115.3</v>
      </c>
      <c r="S42" s="85">
        <v>111.7</v>
      </c>
      <c r="T42" s="85">
        <v>114.7</v>
      </c>
      <c r="U42" s="85">
        <v>112.5</v>
      </c>
      <c r="V42" s="85">
        <v>111.1</v>
      </c>
      <c r="W42" s="85">
        <v>112.6</v>
      </c>
      <c r="X42" s="85">
        <v>110.4</v>
      </c>
      <c r="Y42" s="85">
        <v>111.3</v>
      </c>
      <c r="Z42" s="85">
        <v>110.3</v>
      </c>
      <c r="AA42" s="85">
        <v>111.6</v>
      </c>
      <c r="AB42" s="85">
        <v>108.7</v>
      </c>
      <c r="AC42" s="85">
        <v>111</v>
      </c>
      <c r="AD42" s="85">
        <v>113.1</v>
      </c>
      <c r="AE42" s="85">
        <f t="shared" si="8"/>
        <v>1476</v>
      </c>
      <c r="AF42" s="85">
        <f t="shared" si="1"/>
        <v>116.2</v>
      </c>
      <c r="AG42" s="85">
        <f t="shared" si="2"/>
        <v>341.7</v>
      </c>
      <c r="AH42" s="85">
        <f t="shared" si="3"/>
        <v>336.2</v>
      </c>
      <c r="AI42" s="85">
        <f t="shared" si="4"/>
        <v>330.7</v>
      </c>
      <c r="AJ42" s="85">
        <f t="shared" si="5"/>
        <v>111.3</v>
      </c>
      <c r="AK42" s="85">
        <f t="shared" si="6"/>
        <v>110.3</v>
      </c>
      <c r="AL42" s="85">
        <f t="shared" si="7"/>
        <v>111</v>
      </c>
      <c r="AM42" s="86"/>
    </row>
    <row r="43" spans="1:39" x14ac:dyDescent="0.3">
      <c r="A43" s="87" t="s">
        <v>34</v>
      </c>
      <c r="B43" s="88">
        <v>2014</v>
      </c>
      <c r="C43" s="88" t="s">
        <v>35</v>
      </c>
      <c r="D43" s="88">
        <v>120.2</v>
      </c>
      <c r="E43" s="88">
        <v>119.2</v>
      </c>
      <c r="F43" s="88">
        <v>122.5</v>
      </c>
      <c r="G43" s="88">
        <v>115.1</v>
      </c>
      <c r="H43" s="88">
        <v>106.6</v>
      </c>
      <c r="I43" s="88">
        <v>115.4</v>
      </c>
      <c r="J43" s="88">
        <v>114.5</v>
      </c>
      <c r="K43" s="88">
        <v>109.3</v>
      </c>
      <c r="L43" s="88">
        <v>99.2</v>
      </c>
      <c r="M43" s="88">
        <v>111.4</v>
      </c>
      <c r="N43" s="88">
        <v>112.6</v>
      </c>
      <c r="O43" s="88">
        <v>118.8</v>
      </c>
      <c r="P43" s="88">
        <v>115.3</v>
      </c>
      <c r="Q43" s="88">
        <v>114.7</v>
      </c>
      <c r="R43" s="88">
        <v>116.4</v>
      </c>
      <c r="S43" s="88">
        <v>113.3</v>
      </c>
      <c r="T43" s="88">
        <v>115.9</v>
      </c>
      <c r="U43" s="88">
        <v>112.5</v>
      </c>
      <c r="V43" s="88">
        <v>112.4</v>
      </c>
      <c r="W43" s="88">
        <v>112.8</v>
      </c>
      <c r="X43" s="88">
        <v>110.7</v>
      </c>
      <c r="Y43" s="88">
        <v>111.1</v>
      </c>
      <c r="Z43" s="88">
        <v>110.1</v>
      </c>
      <c r="AA43" s="88">
        <v>111.8</v>
      </c>
      <c r="AB43" s="88">
        <v>108.7</v>
      </c>
      <c r="AC43" s="88">
        <v>110.9</v>
      </c>
      <c r="AD43" s="88">
        <v>113.6</v>
      </c>
      <c r="AE43" s="88">
        <f t="shared" ref="AE43:AE66" si="9">SUM(D43:P43)</f>
        <v>1480.1</v>
      </c>
      <c r="AF43" s="88">
        <f t="shared" si="1"/>
        <v>114.7</v>
      </c>
      <c r="AG43" s="88">
        <f t="shared" si="2"/>
        <v>345.6</v>
      </c>
      <c r="AH43" s="88">
        <f t="shared" si="3"/>
        <v>337.7</v>
      </c>
      <c r="AI43" s="88">
        <f t="shared" si="4"/>
        <v>331.2</v>
      </c>
      <c r="AJ43" s="88">
        <f t="shared" si="5"/>
        <v>111.1</v>
      </c>
      <c r="AK43" s="88">
        <f t="shared" si="6"/>
        <v>110.1</v>
      </c>
      <c r="AL43" s="88">
        <f t="shared" si="7"/>
        <v>110.9</v>
      </c>
      <c r="AM43" s="89"/>
    </row>
    <row r="44" spans="1:39" x14ac:dyDescent="0.3">
      <c r="A44" s="84" t="s">
        <v>30</v>
      </c>
      <c r="B44" s="85">
        <v>2014</v>
      </c>
      <c r="C44" s="85" t="s">
        <v>36</v>
      </c>
      <c r="D44" s="85">
        <v>120.1</v>
      </c>
      <c r="E44" s="85">
        <v>118.1</v>
      </c>
      <c r="F44" s="85">
        <v>120.7</v>
      </c>
      <c r="G44" s="85">
        <v>116.1</v>
      </c>
      <c r="H44" s="85">
        <v>109.3</v>
      </c>
      <c r="I44" s="85">
        <v>119.6</v>
      </c>
      <c r="J44" s="85">
        <v>117.9</v>
      </c>
      <c r="K44" s="85">
        <v>110.2</v>
      </c>
      <c r="L44" s="85">
        <v>101.2</v>
      </c>
      <c r="M44" s="85">
        <v>110.7</v>
      </c>
      <c r="N44" s="85">
        <v>113</v>
      </c>
      <c r="O44" s="85">
        <v>118.3</v>
      </c>
      <c r="P44" s="85">
        <v>116.2</v>
      </c>
      <c r="Q44" s="85">
        <v>114.6</v>
      </c>
      <c r="R44" s="85">
        <v>117.5</v>
      </c>
      <c r="S44" s="85">
        <v>114.9</v>
      </c>
      <c r="T44" s="85">
        <v>117.2</v>
      </c>
      <c r="U44" s="85" t="s">
        <v>32</v>
      </c>
      <c r="V44" s="85">
        <v>113.4</v>
      </c>
      <c r="W44" s="85">
        <v>113.4</v>
      </c>
      <c r="X44" s="85">
        <v>111.4</v>
      </c>
      <c r="Y44" s="85">
        <v>111.2</v>
      </c>
      <c r="Z44" s="85">
        <v>110.2</v>
      </c>
      <c r="AA44" s="85">
        <v>112.4</v>
      </c>
      <c r="AB44" s="85">
        <v>108.9</v>
      </c>
      <c r="AC44" s="85">
        <v>111.3</v>
      </c>
      <c r="AD44" s="85">
        <v>114.6</v>
      </c>
      <c r="AE44" s="85">
        <f t="shared" si="9"/>
        <v>1491.4</v>
      </c>
      <c r="AF44" s="85">
        <f t="shared" si="1"/>
        <v>114.6</v>
      </c>
      <c r="AG44" s="85">
        <f t="shared" si="2"/>
        <v>349.6</v>
      </c>
      <c r="AH44" s="85">
        <f t="shared" si="3"/>
        <v>226.8</v>
      </c>
      <c r="AI44" s="85">
        <f t="shared" si="4"/>
        <v>332.70000000000005</v>
      </c>
      <c r="AJ44" s="85">
        <f t="shared" si="5"/>
        <v>111.2</v>
      </c>
      <c r="AK44" s="85">
        <f t="shared" si="6"/>
        <v>110.2</v>
      </c>
      <c r="AL44" s="85">
        <f t="shared" si="7"/>
        <v>111.3</v>
      </c>
      <c r="AM44" s="86"/>
    </row>
    <row r="45" spans="1:39" x14ac:dyDescent="0.3">
      <c r="A45" s="87" t="s">
        <v>33</v>
      </c>
      <c r="B45" s="88">
        <v>2014</v>
      </c>
      <c r="C45" s="88" t="s">
        <v>36</v>
      </c>
      <c r="D45" s="88">
        <v>122.1</v>
      </c>
      <c r="E45" s="88">
        <v>121.4</v>
      </c>
      <c r="F45" s="88">
        <v>121.5</v>
      </c>
      <c r="G45" s="88">
        <v>116.2</v>
      </c>
      <c r="H45" s="88">
        <v>102.8</v>
      </c>
      <c r="I45" s="88">
        <v>117.7</v>
      </c>
      <c r="J45" s="88">
        <v>113.3</v>
      </c>
      <c r="K45" s="88">
        <v>108.9</v>
      </c>
      <c r="L45" s="88">
        <v>96.3</v>
      </c>
      <c r="M45" s="88">
        <v>114.1</v>
      </c>
      <c r="N45" s="88">
        <v>112.2</v>
      </c>
      <c r="O45" s="88">
        <v>120.5</v>
      </c>
      <c r="P45" s="88">
        <v>116</v>
      </c>
      <c r="Q45" s="88">
        <v>116.7</v>
      </c>
      <c r="R45" s="88">
        <v>115.8</v>
      </c>
      <c r="S45" s="88">
        <v>112.1</v>
      </c>
      <c r="T45" s="88">
        <v>115.2</v>
      </c>
      <c r="U45" s="88">
        <v>113.2</v>
      </c>
      <c r="V45" s="88">
        <v>110.9</v>
      </c>
      <c r="W45" s="88">
        <v>113</v>
      </c>
      <c r="X45" s="88">
        <v>110.8</v>
      </c>
      <c r="Y45" s="88">
        <v>111.6</v>
      </c>
      <c r="Z45" s="88">
        <v>110.9</v>
      </c>
      <c r="AA45" s="88">
        <v>111.8</v>
      </c>
      <c r="AB45" s="88">
        <v>109.2</v>
      </c>
      <c r="AC45" s="88">
        <v>111.4</v>
      </c>
      <c r="AD45" s="88">
        <v>113.7</v>
      </c>
      <c r="AE45" s="88">
        <f t="shared" si="9"/>
        <v>1483</v>
      </c>
      <c r="AF45" s="88">
        <f t="shared" si="1"/>
        <v>116.7</v>
      </c>
      <c r="AG45" s="88">
        <f t="shared" si="2"/>
        <v>343.09999999999997</v>
      </c>
      <c r="AH45" s="88">
        <f t="shared" si="3"/>
        <v>337.1</v>
      </c>
      <c r="AI45" s="88">
        <f t="shared" si="4"/>
        <v>331.8</v>
      </c>
      <c r="AJ45" s="88">
        <f t="shared" si="5"/>
        <v>111.6</v>
      </c>
      <c r="AK45" s="88">
        <f t="shared" si="6"/>
        <v>110.9</v>
      </c>
      <c r="AL45" s="88">
        <f t="shared" si="7"/>
        <v>111.4</v>
      </c>
      <c r="AM45" s="89"/>
    </row>
    <row r="46" spans="1:39" x14ac:dyDescent="0.3">
      <c r="A46" s="84" t="s">
        <v>34</v>
      </c>
      <c r="B46" s="85">
        <v>2014</v>
      </c>
      <c r="C46" s="85" t="s">
        <v>47</v>
      </c>
      <c r="D46" s="85">
        <v>120.7</v>
      </c>
      <c r="E46" s="85">
        <v>119.3</v>
      </c>
      <c r="F46" s="85">
        <v>121</v>
      </c>
      <c r="G46" s="85">
        <v>116.1</v>
      </c>
      <c r="H46" s="85">
        <v>106.9</v>
      </c>
      <c r="I46" s="85">
        <v>118.7</v>
      </c>
      <c r="J46" s="85">
        <v>116.3</v>
      </c>
      <c r="K46" s="85">
        <v>109.8</v>
      </c>
      <c r="L46" s="85">
        <v>99.6</v>
      </c>
      <c r="M46" s="85">
        <v>111.8</v>
      </c>
      <c r="N46" s="85">
        <v>112.7</v>
      </c>
      <c r="O46" s="85">
        <v>119.3</v>
      </c>
      <c r="P46" s="85">
        <v>116.1</v>
      </c>
      <c r="Q46" s="85">
        <v>115.2</v>
      </c>
      <c r="R46" s="85">
        <v>116.8</v>
      </c>
      <c r="S46" s="85">
        <v>113.7</v>
      </c>
      <c r="T46" s="85">
        <v>116.4</v>
      </c>
      <c r="U46" s="85">
        <v>113.2</v>
      </c>
      <c r="V46" s="85">
        <v>112.5</v>
      </c>
      <c r="W46" s="85">
        <v>113.2</v>
      </c>
      <c r="X46" s="85">
        <v>111.2</v>
      </c>
      <c r="Y46" s="85">
        <v>111.4</v>
      </c>
      <c r="Z46" s="85">
        <v>110.6</v>
      </c>
      <c r="AA46" s="85">
        <v>112</v>
      </c>
      <c r="AB46" s="85">
        <v>109</v>
      </c>
      <c r="AC46" s="85">
        <v>111.3</v>
      </c>
      <c r="AD46" s="85">
        <v>114.2</v>
      </c>
      <c r="AE46" s="85">
        <f t="shared" si="9"/>
        <v>1488.2999999999997</v>
      </c>
      <c r="AF46" s="85">
        <f t="shared" si="1"/>
        <v>115.2</v>
      </c>
      <c r="AG46" s="85">
        <f t="shared" si="2"/>
        <v>346.9</v>
      </c>
      <c r="AH46" s="85">
        <f t="shared" si="3"/>
        <v>338.9</v>
      </c>
      <c r="AI46" s="85">
        <f t="shared" si="4"/>
        <v>332.2</v>
      </c>
      <c r="AJ46" s="85">
        <f t="shared" si="5"/>
        <v>111.4</v>
      </c>
      <c r="AK46" s="85">
        <f t="shared" si="6"/>
        <v>110.6</v>
      </c>
      <c r="AL46" s="85">
        <f t="shared" si="7"/>
        <v>111.3</v>
      </c>
      <c r="AM46" s="86"/>
    </row>
    <row r="47" spans="1:39" x14ac:dyDescent="0.3">
      <c r="A47" s="87" t="s">
        <v>30</v>
      </c>
      <c r="B47" s="88">
        <v>2014</v>
      </c>
      <c r="C47" s="88" t="s">
        <v>37</v>
      </c>
      <c r="D47" s="88">
        <v>120.2</v>
      </c>
      <c r="E47" s="88">
        <v>118.9</v>
      </c>
      <c r="F47" s="88">
        <v>118.1</v>
      </c>
      <c r="G47" s="88">
        <v>117</v>
      </c>
      <c r="H47" s="88">
        <v>109.7</v>
      </c>
      <c r="I47" s="88">
        <v>125.5</v>
      </c>
      <c r="J47" s="88">
        <v>120.5</v>
      </c>
      <c r="K47" s="88">
        <v>111</v>
      </c>
      <c r="L47" s="88">
        <v>102.6</v>
      </c>
      <c r="M47" s="88">
        <v>111.2</v>
      </c>
      <c r="N47" s="88">
        <v>113.5</v>
      </c>
      <c r="O47" s="88">
        <v>118.7</v>
      </c>
      <c r="P47" s="88">
        <v>117.2</v>
      </c>
      <c r="Q47" s="88">
        <v>115.4</v>
      </c>
      <c r="R47" s="88">
        <v>118.1</v>
      </c>
      <c r="S47" s="88">
        <v>116.1</v>
      </c>
      <c r="T47" s="88">
        <v>117.8</v>
      </c>
      <c r="U47" s="88" t="s">
        <v>32</v>
      </c>
      <c r="V47" s="88">
        <v>113.4</v>
      </c>
      <c r="W47" s="88">
        <v>113.7</v>
      </c>
      <c r="X47" s="88">
        <v>111.8</v>
      </c>
      <c r="Y47" s="88">
        <v>111.2</v>
      </c>
      <c r="Z47" s="88">
        <v>110.5</v>
      </c>
      <c r="AA47" s="88">
        <v>113</v>
      </c>
      <c r="AB47" s="88">
        <v>108.9</v>
      </c>
      <c r="AC47" s="88">
        <v>111.5</v>
      </c>
      <c r="AD47" s="88">
        <v>115.4</v>
      </c>
      <c r="AE47" s="88">
        <f t="shared" si="9"/>
        <v>1504.1000000000001</v>
      </c>
      <c r="AF47" s="88">
        <f t="shared" si="1"/>
        <v>115.4</v>
      </c>
      <c r="AG47" s="88">
        <f t="shared" si="2"/>
        <v>352</v>
      </c>
      <c r="AH47" s="88">
        <f t="shared" si="3"/>
        <v>227.10000000000002</v>
      </c>
      <c r="AI47" s="88">
        <f t="shared" si="4"/>
        <v>333.70000000000005</v>
      </c>
      <c r="AJ47" s="88">
        <f t="shared" si="5"/>
        <v>111.2</v>
      </c>
      <c r="AK47" s="88">
        <f t="shared" si="6"/>
        <v>110.5</v>
      </c>
      <c r="AL47" s="88">
        <f t="shared" si="7"/>
        <v>111.5</v>
      </c>
      <c r="AM47" s="89"/>
    </row>
    <row r="48" spans="1:39" x14ac:dyDescent="0.3">
      <c r="A48" s="84" t="s">
        <v>33</v>
      </c>
      <c r="B48" s="85">
        <v>2014</v>
      </c>
      <c r="C48" s="85" t="s">
        <v>37</v>
      </c>
      <c r="D48" s="85">
        <v>122.5</v>
      </c>
      <c r="E48" s="85">
        <v>121.7</v>
      </c>
      <c r="F48" s="85">
        <v>113.3</v>
      </c>
      <c r="G48" s="85">
        <v>117</v>
      </c>
      <c r="H48" s="85">
        <v>103.1</v>
      </c>
      <c r="I48" s="85">
        <v>126.7</v>
      </c>
      <c r="J48" s="85">
        <v>121.2</v>
      </c>
      <c r="K48" s="85">
        <v>111</v>
      </c>
      <c r="L48" s="85">
        <v>100.3</v>
      </c>
      <c r="M48" s="85">
        <v>115.3</v>
      </c>
      <c r="N48" s="85">
        <v>112.7</v>
      </c>
      <c r="O48" s="85">
        <v>121</v>
      </c>
      <c r="P48" s="85">
        <v>118.2</v>
      </c>
      <c r="Q48" s="85">
        <v>117.6</v>
      </c>
      <c r="R48" s="85">
        <v>116.3</v>
      </c>
      <c r="S48" s="85">
        <v>112.5</v>
      </c>
      <c r="T48" s="85">
        <v>115.7</v>
      </c>
      <c r="U48" s="85">
        <v>113.9</v>
      </c>
      <c r="V48" s="85">
        <v>110.9</v>
      </c>
      <c r="W48" s="85">
        <v>113.4</v>
      </c>
      <c r="X48" s="85">
        <v>111</v>
      </c>
      <c r="Y48" s="85">
        <v>111.2</v>
      </c>
      <c r="Z48" s="85">
        <v>111.2</v>
      </c>
      <c r="AA48" s="85">
        <v>112.5</v>
      </c>
      <c r="AB48" s="85">
        <v>109.1</v>
      </c>
      <c r="AC48" s="85">
        <v>111.4</v>
      </c>
      <c r="AD48" s="85">
        <v>114.7</v>
      </c>
      <c r="AE48" s="85">
        <f t="shared" si="9"/>
        <v>1504.0000000000002</v>
      </c>
      <c r="AF48" s="85">
        <f t="shared" si="1"/>
        <v>117.6</v>
      </c>
      <c r="AG48" s="85">
        <f t="shared" si="2"/>
        <v>344.5</v>
      </c>
      <c r="AH48" s="85">
        <f t="shared" si="3"/>
        <v>338.20000000000005</v>
      </c>
      <c r="AI48" s="85">
        <f t="shared" si="4"/>
        <v>332.6</v>
      </c>
      <c r="AJ48" s="85">
        <f t="shared" si="5"/>
        <v>111.2</v>
      </c>
      <c r="AK48" s="85">
        <f t="shared" si="6"/>
        <v>111.2</v>
      </c>
      <c r="AL48" s="85">
        <f t="shared" si="7"/>
        <v>111.4</v>
      </c>
      <c r="AM48" s="86"/>
    </row>
    <row r="49" spans="1:39" x14ac:dyDescent="0.3">
      <c r="A49" s="87" t="s">
        <v>34</v>
      </c>
      <c r="B49" s="88">
        <v>2014</v>
      </c>
      <c r="C49" s="88" t="s">
        <v>37</v>
      </c>
      <c r="D49" s="88">
        <v>120.9</v>
      </c>
      <c r="E49" s="88">
        <v>119.9</v>
      </c>
      <c r="F49" s="88">
        <v>116.2</v>
      </c>
      <c r="G49" s="88">
        <v>117</v>
      </c>
      <c r="H49" s="88">
        <v>107.3</v>
      </c>
      <c r="I49" s="88">
        <v>126.1</v>
      </c>
      <c r="J49" s="88">
        <v>120.7</v>
      </c>
      <c r="K49" s="88">
        <v>111</v>
      </c>
      <c r="L49" s="88">
        <v>101.8</v>
      </c>
      <c r="M49" s="88">
        <v>112.6</v>
      </c>
      <c r="N49" s="88">
        <v>113.2</v>
      </c>
      <c r="O49" s="88">
        <v>119.8</v>
      </c>
      <c r="P49" s="88">
        <v>117.6</v>
      </c>
      <c r="Q49" s="88">
        <v>116</v>
      </c>
      <c r="R49" s="88">
        <v>117.4</v>
      </c>
      <c r="S49" s="88">
        <v>114.6</v>
      </c>
      <c r="T49" s="88">
        <v>117</v>
      </c>
      <c r="U49" s="88">
        <v>113.9</v>
      </c>
      <c r="V49" s="88">
        <v>112.5</v>
      </c>
      <c r="W49" s="88">
        <v>113.6</v>
      </c>
      <c r="X49" s="88">
        <v>111.5</v>
      </c>
      <c r="Y49" s="88">
        <v>111.2</v>
      </c>
      <c r="Z49" s="88">
        <v>110.9</v>
      </c>
      <c r="AA49" s="88">
        <v>112.7</v>
      </c>
      <c r="AB49" s="88">
        <v>109</v>
      </c>
      <c r="AC49" s="88">
        <v>111.5</v>
      </c>
      <c r="AD49" s="88">
        <v>115.1</v>
      </c>
      <c r="AE49" s="88">
        <f t="shared" si="9"/>
        <v>1504.1</v>
      </c>
      <c r="AF49" s="88">
        <f t="shared" si="1"/>
        <v>116</v>
      </c>
      <c r="AG49" s="88">
        <f t="shared" si="2"/>
        <v>349</v>
      </c>
      <c r="AH49" s="88">
        <f t="shared" si="3"/>
        <v>340</v>
      </c>
      <c r="AI49" s="88">
        <f t="shared" si="4"/>
        <v>333.2</v>
      </c>
      <c r="AJ49" s="88">
        <f t="shared" si="5"/>
        <v>111.2</v>
      </c>
      <c r="AK49" s="88">
        <f t="shared" si="6"/>
        <v>110.9</v>
      </c>
      <c r="AL49" s="88">
        <f t="shared" si="7"/>
        <v>111.5</v>
      </c>
      <c r="AM49" s="89"/>
    </row>
    <row r="50" spans="1:39" x14ac:dyDescent="0.3">
      <c r="A50" s="84" t="s">
        <v>30</v>
      </c>
      <c r="B50" s="85">
        <v>2014</v>
      </c>
      <c r="C50" s="85" t="s">
        <v>38</v>
      </c>
      <c r="D50" s="85">
        <v>120.3</v>
      </c>
      <c r="E50" s="85">
        <v>120.2</v>
      </c>
      <c r="F50" s="85">
        <v>116.9</v>
      </c>
      <c r="G50" s="85">
        <v>118</v>
      </c>
      <c r="H50" s="85">
        <v>110.1</v>
      </c>
      <c r="I50" s="85">
        <v>126.3</v>
      </c>
      <c r="J50" s="85">
        <v>123.9</v>
      </c>
      <c r="K50" s="85">
        <v>111.5</v>
      </c>
      <c r="L50" s="85">
        <v>103.5</v>
      </c>
      <c r="M50" s="85">
        <v>111.6</v>
      </c>
      <c r="N50" s="85">
        <v>114.2</v>
      </c>
      <c r="O50" s="85">
        <v>119.2</v>
      </c>
      <c r="P50" s="85">
        <v>118.2</v>
      </c>
      <c r="Q50" s="85">
        <v>116.3</v>
      </c>
      <c r="R50" s="85">
        <v>118.7</v>
      </c>
      <c r="S50" s="85">
        <v>116.8</v>
      </c>
      <c r="T50" s="85">
        <v>118.5</v>
      </c>
      <c r="U50" s="85" t="s">
        <v>32</v>
      </c>
      <c r="V50" s="85">
        <v>113.4</v>
      </c>
      <c r="W50" s="85">
        <v>114.1</v>
      </c>
      <c r="X50" s="85">
        <v>112.1</v>
      </c>
      <c r="Y50" s="85">
        <v>111.4</v>
      </c>
      <c r="Z50" s="85">
        <v>110.9</v>
      </c>
      <c r="AA50" s="85">
        <v>113.1</v>
      </c>
      <c r="AB50" s="85">
        <v>108.9</v>
      </c>
      <c r="AC50" s="85">
        <v>111.8</v>
      </c>
      <c r="AD50" s="85">
        <v>116</v>
      </c>
      <c r="AE50" s="85">
        <f t="shared" si="9"/>
        <v>1513.8999999999999</v>
      </c>
      <c r="AF50" s="85">
        <f t="shared" si="1"/>
        <v>116.3</v>
      </c>
      <c r="AG50" s="85">
        <f t="shared" si="2"/>
        <v>354</v>
      </c>
      <c r="AH50" s="85">
        <f t="shared" si="3"/>
        <v>227.5</v>
      </c>
      <c r="AI50" s="85">
        <f t="shared" si="4"/>
        <v>334.1</v>
      </c>
      <c r="AJ50" s="85">
        <f t="shared" si="5"/>
        <v>111.4</v>
      </c>
      <c r="AK50" s="85">
        <f t="shared" si="6"/>
        <v>110.9</v>
      </c>
      <c r="AL50" s="85">
        <f t="shared" si="7"/>
        <v>111.8</v>
      </c>
      <c r="AM50" s="86"/>
    </row>
    <row r="51" spans="1:39" x14ac:dyDescent="0.3">
      <c r="A51" s="87" t="s">
        <v>33</v>
      </c>
      <c r="B51" s="88">
        <v>2014</v>
      </c>
      <c r="C51" s="88" t="s">
        <v>38</v>
      </c>
      <c r="D51" s="88">
        <v>122.7</v>
      </c>
      <c r="E51" s="88">
        <v>124.1</v>
      </c>
      <c r="F51" s="88">
        <v>114.2</v>
      </c>
      <c r="G51" s="88">
        <v>119.1</v>
      </c>
      <c r="H51" s="88">
        <v>103.5</v>
      </c>
      <c r="I51" s="88">
        <v>129.19999999999999</v>
      </c>
      <c r="J51" s="88">
        <v>127</v>
      </c>
      <c r="K51" s="88">
        <v>112.6</v>
      </c>
      <c r="L51" s="88">
        <v>101.3</v>
      </c>
      <c r="M51" s="88">
        <v>117</v>
      </c>
      <c r="N51" s="88">
        <v>112.9</v>
      </c>
      <c r="O51" s="88">
        <v>121.7</v>
      </c>
      <c r="P51" s="88">
        <v>120</v>
      </c>
      <c r="Q51" s="88">
        <v>118.3</v>
      </c>
      <c r="R51" s="88">
        <v>116.8</v>
      </c>
      <c r="S51" s="88">
        <v>112.9</v>
      </c>
      <c r="T51" s="88">
        <v>116.2</v>
      </c>
      <c r="U51" s="88">
        <v>114.3</v>
      </c>
      <c r="V51" s="88">
        <v>111.1</v>
      </c>
      <c r="W51" s="88">
        <v>114.1</v>
      </c>
      <c r="X51" s="88">
        <v>111.2</v>
      </c>
      <c r="Y51" s="88">
        <v>111.3</v>
      </c>
      <c r="Z51" s="88">
        <v>111.5</v>
      </c>
      <c r="AA51" s="88">
        <v>112.9</v>
      </c>
      <c r="AB51" s="88">
        <v>109.3</v>
      </c>
      <c r="AC51" s="88">
        <v>111.7</v>
      </c>
      <c r="AD51" s="88">
        <v>115.6</v>
      </c>
      <c r="AE51" s="88">
        <f t="shared" si="9"/>
        <v>1525.3000000000002</v>
      </c>
      <c r="AF51" s="88">
        <f t="shared" si="1"/>
        <v>118.3</v>
      </c>
      <c r="AG51" s="88">
        <f t="shared" si="2"/>
        <v>345.9</v>
      </c>
      <c r="AH51" s="88">
        <f t="shared" si="3"/>
        <v>339.5</v>
      </c>
      <c r="AI51" s="88">
        <f t="shared" si="4"/>
        <v>333.40000000000003</v>
      </c>
      <c r="AJ51" s="88">
        <f t="shared" si="5"/>
        <v>111.3</v>
      </c>
      <c r="AK51" s="88">
        <f t="shared" si="6"/>
        <v>111.5</v>
      </c>
      <c r="AL51" s="88">
        <f t="shared" si="7"/>
        <v>111.7</v>
      </c>
      <c r="AM51" s="89"/>
    </row>
    <row r="52" spans="1:39" x14ac:dyDescent="0.3">
      <c r="A52" s="84" t="s">
        <v>34</v>
      </c>
      <c r="B52" s="85">
        <v>2014</v>
      </c>
      <c r="C52" s="85" t="s">
        <v>38</v>
      </c>
      <c r="D52" s="85">
        <v>121.1</v>
      </c>
      <c r="E52" s="85">
        <v>121.6</v>
      </c>
      <c r="F52" s="85">
        <v>115.9</v>
      </c>
      <c r="G52" s="85">
        <v>118.4</v>
      </c>
      <c r="H52" s="85">
        <v>107.7</v>
      </c>
      <c r="I52" s="85">
        <v>127.7</v>
      </c>
      <c r="J52" s="85">
        <v>125</v>
      </c>
      <c r="K52" s="85">
        <v>111.9</v>
      </c>
      <c r="L52" s="85">
        <v>102.8</v>
      </c>
      <c r="M52" s="85">
        <v>113.4</v>
      </c>
      <c r="N52" s="85">
        <v>113.7</v>
      </c>
      <c r="O52" s="85">
        <v>120.4</v>
      </c>
      <c r="P52" s="85">
        <v>118.9</v>
      </c>
      <c r="Q52" s="85">
        <v>116.8</v>
      </c>
      <c r="R52" s="85">
        <v>118</v>
      </c>
      <c r="S52" s="85">
        <v>115.2</v>
      </c>
      <c r="T52" s="85">
        <v>117.6</v>
      </c>
      <c r="U52" s="85">
        <v>114.3</v>
      </c>
      <c r="V52" s="85">
        <v>112.5</v>
      </c>
      <c r="W52" s="85">
        <v>114.1</v>
      </c>
      <c r="X52" s="85">
        <v>111.8</v>
      </c>
      <c r="Y52" s="85">
        <v>111.3</v>
      </c>
      <c r="Z52" s="85">
        <v>111.2</v>
      </c>
      <c r="AA52" s="85">
        <v>113</v>
      </c>
      <c r="AB52" s="85">
        <v>109.1</v>
      </c>
      <c r="AC52" s="85">
        <v>111.8</v>
      </c>
      <c r="AD52" s="85">
        <v>115.8</v>
      </c>
      <c r="AE52" s="85">
        <f t="shared" si="9"/>
        <v>1518.5000000000005</v>
      </c>
      <c r="AF52" s="85">
        <f t="shared" si="1"/>
        <v>116.8</v>
      </c>
      <c r="AG52" s="85">
        <f t="shared" si="2"/>
        <v>350.79999999999995</v>
      </c>
      <c r="AH52" s="85">
        <f t="shared" si="3"/>
        <v>340.9</v>
      </c>
      <c r="AI52" s="85">
        <f t="shared" si="4"/>
        <v>333.9</v>
      </c>
      <c r="AJ52" s="85">
        <f t="shared" si="5"/>
        <v>111.3</v>
      </c>
      <c r="AK52" s="85">
        <f t="shared" si="6"/>
        <v>111.2</v>
      </c>
      <c r="AL52" s="85">
        <f t="shared" si="7"/>
        <v>111.8</v>
      </c>
      <c r="AM52" s="86"/>
    </row>
    <row r="53" spans="1:39" x14ac:dyDescent="0.3">
      <c r="A53" s="87" t="s">
        <v>30</v>
      </c>
      <c r="B53" s="88">
        <v>2014</v>
      </c>
      <c r="C53" s="88" t="s">
        <v>39</v>
      </c>
      <c r="D53" s="88">
        <v>120.7</v>
      </c>
      <c r="E53" s="88">
        <v>121.6</v>
      </c>
      <c r="F53" s="88">
        <v>116.1</v>
      </c>
      <c r="G53" s="88">
        <v>119.3</v>
      </c>
      <c r="H53" s="88">
        <v>110.3</v>
      </c>
      <c r="I53" s="88">
        <v>125.8</v>
      </c>
      <c r="J53" s="88">
        <v>129.30000000000001</v>
      </c>
      <c r="K53" s="88">
        <v>112.2</v>
      </c>
      <c r="L53" s="88">
        <v>103.6</v>
      </c>
      <c r="M53" s="88">
        <v>112.3</v>
      </c>
      <c r="N53" s="88">
        <v>114.9</v>
      </c>
      <c r="O53" s="88">
        <v>120.1</v>
      </c>
      <c r="P53" s="88">
        <v>119.5</v>
      </c>
      <c r="Q53" s="88">
        <v>117.3</v>
      </c>
      <c r="R53" s="88">
        <v>119.7</v>
      </c>
      <c r="S53" s="88">
        <v>117.3</v>
      </c>
      <c r="T53" s="88">
        <v>119.3</v>
      </c>
      <c r="U53" s="88" t="s">
        <v>32</v>
      </c>
      <c r="V53" s="88">
        <v>114.4</v>
      </c>
      <c r="W53" s="88">
        <v>114.9</v>
      </c>
      <c r="X53" s="88">
        <v>112.8</v>
      </c>
      <c r="Y53" s="88">
        <v>112.2</v>
      </c>
      <c r="Z53" s="88">
        <v>111.4</v>
      </c>
      <c r="AA53" s="88">
        <v>114.3</v>
      </c>
      <c r="AB53" s="88">
        <v>108</v>
      </c>
      <c r="AC53" s="88">
        <v>112.3</v>
      </c>
      <c r="AD53" s="88">
        <v>117</v>
      </c>
      <c r="AE53" s="88">
        <f t="shared" si="9"/>
        <v>1525.6999999999998</v>
      </c>
      <c r="AF53" s="88">
        <f t="shared" si="1"/>
        <v>117.3</v>
      </c>
      <c r="AG53" s="88">
        <f t="shared" si="2"/>
        <v>356.3</v>
      </c>
      <c r="AH53" s="88">
        <f t="shared" si="3"/>
        <v>229.3</v>
      </c>
      <c r="AI53" s="88">
        <f t="shared" si="4"/>
        <v>335.1</v>
      </c>
      <c r="AJ53" s="88">
        <f t="shared" si="5"/>
        <v>112.2</v>
      </c>
      <c r="AK53" s="88">
        <f t="shared" si="6"/>
        <v>111.4</v>
      </c>
      <c r="AL53" s="88">
        <f t="shared" si="7"/>
        <v>112.3</v>
      </c>
      <c r="AM53" s="89"/>
    </row>
    <row r="54" spans="1:39" x14ac:dyDescent="0.3">
      <c r="A54" s="84" t="s">
        <v>33</v>
      </c>
      <c r="B54" s="85">
        <v>2014</v>
      </c>
      <c r="C54" s="85" t="s">
        <v>39</v>
      </c>
      <c r="D54" s="85">
        <v>123.1</v>
      </c>
      <c r="E54" s="85">
        <v>125.9</v>
      </c>
      <c r="F54" s="85">
        <v>115.4</v>
      </c>
      <c r="G54" s="85">
        <v>120.4</v>
      </c>
      <c r="H54" s="85">
        <v>103.4</v>
      </c>
      <c r="I54" s="85">
        <v>131.19999999999999</v>
      </c>
      <c r="J54" s="85">
        <v>137.5</v>
      </c>
      <c r="K54" s="85">
        <v>112.8</v>
      </c>
      <c r="L54" s="85">
        <v>101.4</v>
      </c>
      <c r="M54" s="85">
        <v>118.3</v>
      </c>
      <c r="N54" s="85">
        <v>113.2</v>
      </c>
      <c r="O54" s="85">
        <v>122.4</v>
      </c>
      <c r="P54" s="85">
        <v>122</v>
      </c>
      <c r="Q54" s="85">
        <v>119</v>
      </c>
      <c r="R54" s="85">
        <v>117.4</v>
      </c>
      <c r="S54" s="85">
        <v>113.2</v>
      </c>
      <c r="T54" s="85">
        <v>116.7</v>
      </c>
      <c r="U54" s="85">
        <v>113.9</v>
      </c>
      <c r="V54" s="85">
        <v>111.2</v>
      </c>
      <c r="W54" s="85">
        <v>114.3</v>
      </c>
      <c r="X54" s="85">
        <v>111.4</v>
      </c>
      <c r="Y54" s="85">
        <v>111.5</v>
      </c>
      <c r="Z54" s="85">
        <v>111.8</v>
      </c>
      <c r="AA54" s="85">
        <v>115.1</v>
      </c>
      <c r="AB54" s="85">
        <v>108.7</v>
      </c>
      <c r="AC54" s="85">
        <v>112.2</v>
      </c>
      <c r="AD54" s="85">
        <v>116.4</v>
      </c>
      <c r="AE54" s="85">
        <f t="shared" si="9"/>
        <v>1547</v>
      </c>
      <c r="AF54" s="85">
        <f t="shared" si="1"/>
        <v>119</v>
      </c>
      <c r="AG54" s="85">
        <f t="shared" si="2"/>
        <v>347.3</v>
      </c>
      <c r="AH54" s="85">
        <f t="shared" si="3"/>
        <v>339.40000000000003</v>
      </c>
      <c r="AI54" s="85">
        <f t="shared" si="4"/>
        <v>335.2</v>
      </c>
      <c r="AJ54" s="85">
        <f t="shared" si="5"/>
        <v>111.5</v>
      </c>
      <c r="AK54" s="85">
        <f t="shared" si="6"/>
        <v>111.8</v>
      </c>
      <c r="AL54" s="85">
        <f t="shared" si="7"/>
        <v>112.2</v>
      </c>
      <c r="AM54" s="86"/>
    </row>
    <row r="55" spans="1:39" x14ac:dyDescent="0.3">
      <c r="A55" s="87" t="s">
        <v>34</v>
      </c>
      <c r="B55" s="88">
        <v>2014</v>
      </c>
      <c r="C55" s="88" t="s">
        <v>39</v>
      </c>
      <c r="D55" s="88">
        <v>121.5</v>
      </c>
      <c r="E55" s="88">
        <v>123.1</v>
      </c>
      <c r="F55" s="88">
        <v>115.8</v>
      </c>
      <c r="G55" s="88">
        <v>119.7</v>
      </c>
      <c r="H55" s="88">
        <v>107.8</v>
      </c>
      <c r="I55" s="88">
        <v>128.30000000000001</v>
      </c>
      <c r="J55" s="88">
        <v>132.1</v>
      </c>
      <c r="K55" s="88">
        <v>112.4</v>
      </c>
      <c r="L55" s="88">
        <v>102.9</v>
      </c>
      <c r="M55" s="88">
        <v>114.3</v>
      </c>
      <c r="N55" s="88">
        <v>114.2</v>
      </c>
      <c r="O55" s="88">
        <v>121.2</v>
      </c>
      <c r="P55" s="88">
        <v>120.4</v>
      </c>
      <c r="Q55" s="88">
        <v>117.8</v>
      </c>
      <c r="R55" s="88">
        <v>118.8</v>
      </c>
      <c r="S55" s="88">
        <v>115.6</v>
      </c>
      <c r="T55" s="88">
        <v>118.3</v>
      </c>
      <c r="U55" s="88">
        <v>113.9</v>
      </c>
      <c r="V55" s="88">
        <v>113.2</v>
      </c>
      <c r="W55" s="88">
        <v>114.6</v>
      </c>
      <c r="X55" s="88">
        <v>112.3</v>
      </c>
      <c r="Y55" s="88">
        <v>111.8</v>
      </c>
      <c r="Z55" s="88">
        <v>111.6</v>
      </c>
      <c r="AA55" s="88">
        <v>114.8</v>
      </c>
      <c r="AB55" s="88">
        <v>108.3</v>
      </c>
      <c r="AC55" s="88">
        <v>112.3</v>
      </c>
      <c r="AD55" s="88">
        <v>116.7</v>
      </c>
      <c r="AE55" s="88">
        <f t="shared" si="9"/>
        <v>1533.7000000000003</v>
      </c>
      <c r="AF55" s="88">
        <f t="shared" si="1"/>
        <v>117.8</v>
      </c>
      <c r="AG55" s="88">
        <f t="shared" si="2"/>
        <v>352.7</v>
      </c>
      <c r="AH55" s="88">
        <f t="shared" si="3"/>
        <v>341.70000000000005</v>
      </c>
      <c r="AI55" s="88">
        <f t="shared" si="4"/>
        <v>335.4</v>
      </c>
      <c r="AJ55" s="88">
        <f t="shared" si="5"/>
        <v>111.8</v>
      </c>
      <c r="AK55" s="88">
        <f t="shared" si="6"/>
        <v>111.6</v>
      </c>
      <c r="AL55" s="88">
        <f t="shared" si="7"/>
        <v>112.3</v>
      </c>
      <c r="AM55" s="89"/>
    </row>
    <row r="56" spans="1:39" x14ac:dyDescent="0.3">
      <c r="A56" s="84" t="s">
        <v>30</v>
      </c>
      <c r="B56" s="85">
        <v>2014</v>
      </c>
      <c r="C56" s="85" t="s">
        <v>40</v>
      </c>
      <c r="D56" s="85">
        <v>121.7</v>
      </c>
      <c r="E56" s="85">
        <v>122.5</v>
      </c>
      <c r="F56" s="85">
        <v>117.7</v>
      </c>
      <c r="G56" s="85">
        <v>120.6</v>
      </c>
      <c r="H56" s="85">
        <v>110.4</v>
      </c>
      <c r="I56" s="85">
        <v>129.1</v>
      </c>
      <c r="J56" s="85">
        <v>150.1</v>
      </c>
      <c r="K56" s="85">
        <v>113.2</v>
      </c>
      <c r="L56" s="85">
        <v>104.8</v>
      </c>
      <c r="M56" s="85">
        <v>113.3</v>
      </c>
      <c r="N56" s="85">
        <v>115.6</v>
      </c>
      <c r="O56" s="85">
        <v>120.9</v>
      </c>
      <c r="P56" s="85">
        <v>123.3</v>
      </c>
      <c r="Q56" s="85">
        <v>118</v>
      </c>
      <c r="R56" s="85">
        <v>120.7</v>
      </c>
      <c r="S56" s="85">
        <v>118.3</v>
      </c>
      <c r="T56" s="85">
        <v>120.3</v>
      </c>
      <c r="U56" s="85" t="s">
        <v>32</v>
      </c>
      <c r="V56" s="85">
        <v>115.3</v>
      </c>
      <c r="W56" s="85">
        <v>115.4</v>
      </c>
      <c r="X56" s="85">
        <v>113.4</v>
      </c>
      <c r="Y56" s="85">
        <v>113.2</v>
      </c>
      <c r="Z56" s="85">
        <v>111.8</v>
      </c>
      <c r="AA56" s="85">
        <v>115.5</v>
      </c>
      <c r="AB56" s="85">
        <v>108.8</v>
      </c>
      <c r="AC56" s="85">
        <v>113.1</v>
      </c>
      <c r="AD56" s="85">
        <v>119.5</v>
      </c>
      <c r="AE56" s="85">
        <f t="shared" si="9"/>
        <v>1563.2</v>
      </c>
      <c r="AF56" s="85">
        <f t="shared" si="1"/>
        <v>118</v>
      </c>
      <c r="AG56" s="85">
        <f t="shared" si="2"/>
        <v>359.3</v>
      </c>
      <c r="AH56" s="85">
        <f t="shared" si="3"/>
        <v>230.7</v>
      </c>
      <c r="AI56" s="85">
        <f t="shared" si="4"/>
        <v>337.7</v>
      </c>
      <c r="AJ56" s="85">
        <f t="shared" si="5"/>
        <v>113.2</v>
      </c>
      <c r="AK56" s="85">
        <f t="shared" si="6"/>
        <v>111.8</v>
      </c>
      <c r="AL56" s="85">
        <f t="shared" si="7"/>
        <v>113.1</v>
      </c>
      <c r="AM56" s="86"/>
    </row>
    <row r="57" spans="1:39" x14ac:dyDescent="0.3">
      <c r="A57" s="87" t="s">
        <v>33</v>
      </c>
      <c r="B57" s="88">
        <v>2014</v>
      </c>
      <c r="C57" s="88" t="s">
        <v>40</v>
      </c>
      <c r="D57" s="88">
        <v>123.8</v>
      </c>
      <c r="E57" s="88">
        <v>126.4</v>
      </c>
      <c r="F57" s="88">
        <v>118</v>
      </c>
      <c r="G57" s="88">
        <v>121.6</v>
      </c>
      <c r="H57" s="88">
        <v>103.5</v>
      </c>
      <c r="I57" s="88">
        <v>133.69999999999999</v>
      </c>
      <c r="J57" s="88">
        <v>172.4</v>
      </c>
      <c r="K57" s="88">
        <v>113.1</v>
      </c>
      <c r="L57" s="88">
        <v>102.7</v>
      </c>
      <c r="M57" s="88">
        <v>120</v>
      </c>
      <c r="N57" s="88">
        <v>113.8</v>
      </c>
      <c r="O57" s="88">
        <v>123.4</v>
      </c>
      <c r="P57" s="88">
        <v>127.1</v>
      </c>
      <c r="Q57" s="88">
        <v>121</v>
      </c>
      <c r="R57" s="88">
        <v>118</v>
      </c>
      <c r="S57" s="88">
        <v>113.6</v>
      </c>
      <c r="T57" s="88">
        <v>117.4</v>
      </c>
      <c r="U57" s="88">
        <v>114.8</v>
      </c>
      <c r="V57" s="88">
        <v>111.6</v>
      </c>
      <c r="W57" s="88">
        <v>114.9</v>
      </c>
      <c r="X57" s="88">
        <v>111.5</v>
      </c>
      <c r="Y57" s="88">
        <v>113</v>
      </c>
      <c r="Z57" s="88">
        <v>112.4</v>
      </c>
      <c r="AA57" s="88">
        <v>117.8</v>
      </c>
      <c r="AB57" s="88">
        <v>109.7</v>
      </c>
      <c r="AC57" s="88">
        <v>113.5</v>
      </c>
      <c r="AD57" s="88">
        <v>118.9</v>
      </c>
      <c r="AE57" s="88">
        <f t="shared" si="9"/>
        <v>1599.5</v>
      </c>
      <c r="AF57" s="88">
        <f t="shared" si="1"/>
        <v>121</v>
      </c>
      <c r="AG57" s="88">
        <f t="shared" si="2"/>
        <v>349</v>
      </c>
      <c r="AH57" s="88">
        <f t="shared" si="3"/>
        <v>341.29999999999995</v>
      </c>
      <c r="AI57" s="88">
        <f t="shared" si="4"/>
        <v>339</v>
      </c>
      <c r="AJ57" s="88">
        <f t="shared" si="5"/>
        <v>113</v>
      </c>
      <c r="AK57" s="88">
        <f t="shared" si="6"/>
        <v>112.4</v>
      </c>
      <c r="AL57" s="88">
        <f t="shared" si="7"/>
        <v>113.5</v>
      </c>
      <c r="AM57" s="89"/>
    </row>
    <row r="58" spans="1:39" x14ac:dyDescent="0.3">
      <c r="A58" s="84" t="s">
        <v>34</v>
      </c>
      <c r="B58" s="85">
        <v>2014</v>
      </c>
      <c r="C58" s="85" t="s">
        <v>40</v>
      </c>
      <c r="D58" s="85">
        <v>122.4</v>
      </c>
      <c r="E58" s="85">
        <v>123.9</v>
      </c>
      <c r="F58" s="85">
        <v>117.8</v>
      </c>
      <c r="G58" s="85">
        <v>121</v>
      </c>
      <c r="H58" s="85">
        <v>107.9</v>
      </c>
      <c r="I58" s="85">
        <v>131.19999999999999</v>
      </c>
      <c r="J58" s="85">
        <v>157.69999999999999</v>
      </c>
      <c r="K58" s="85">
        <v>113.2</v>
      </c>
      <c r="L58" s="85">
        <v>104.1</v>
      </c>
      <c r="M58" s="85">
        <v>115.5</v>
      </c>
      <c r="N58" s="85">
        <v>114.8</v>
      </c>
      <c r="O58" s="85">
        <v>122.1</v>
      </c>
      <c r="P58" s="85">
        <v>124.7</v>
      </c>
      <c r="Q58" s="85">
        <v>118.8</v>
      </c>
      <c r="R58" s="85">
        <v>119.6</v>
      </c>
      <c r="S58" s="85">
        <v>116.3</v>
      </c>
      <c r="T58" s="85">
        <v>119.1</v>
      </c>
      <c r="U58" s="85">
        <v>114.8</v>
      </c>
      <c r="V58" s="85">
        <v>113.9</v>
      </c>
      <c r="W58" s="85">
        <v>115.2</v>
      </c>
      <c r="X58" s="85">
        <v>112.7</v>
      </c>
      <c r="Y58" s="85">
        <v>113.1</v>
      </c>
      <c r="Z58" s="85">
        <v>112.1</v>
      </c>
      <c r="AA58" s="85">
        <v>116.8</v>
      </c>
      <c r="AB58" s="85">
        <v>109.2</v>
      </c>
      <c r="AC58" s="85">
        <v>113.3</v>
      </c>
      <c r="AD58" s="85">
        <v>119.2</v>
      </c>
      <c r="AE58" s="85">
        <f t="shared" si="9"/>
        <v>1576.3</v>
      </c>
      <c r="AF58" s="85">
        <f t="shared" si="1"/>
        <v>118.8</v>
      </c>
      <c r="AG58" s="85">
        <f t="shared" si="2"/>
        <v>355</v>
      </c>
      <c r="AH58" s="85">
        <f t="shared" si="3"/>
        <v>343.9</v>
      </c>
      <c r="AI58" s="85">
        <f t="shared" si="4"/>
        <v>338.7</v>
      </c>
      <c r="AJ58" s="85">
        <f t="shared" si="5"/>
        <v>113.1</v>
      </c>
      <c r="AK58" s="85">
        <f t="shared" si="6"/>
        <v>112.1</v>
      </c>
      <c r="AL58" s="85">
        <f t="shared" si="7"/>
        <v>113.3</v>
      </c>
      <c r="AM58" s="86"/>
    </row>
    <row r="59" spans="1:39" x14ac:dyDescent="0.3">
      <c r="A59" s="87" t="s">
        <v>30</v>
      </c>
      <c r="B59" s="88">
        <v>2014</v>
      </c>
      <c r="C59" s="88" t="s">
        <v>41</v>
      </c>
      <c r="D59" s="88">
        <v>121.8</v>
      </c>
      <c r="E59" s="88">
        <v>122.8</v>
      </c>
      <c r="F59" s="88">
        <v>117.8</v>
      </c>
      <c r="G59" s="88">
        <v>121.9</v>
      </c>
      <c r="H59" s="88">
        <v>110.6</v>
      </c>
      <c r="I59" s="88">
        <v>129.69999999999999</v>
      </c>
      <c r="J59" s="88">
        <v>161.1</v>
      </c>
      <c r="K59" s="88">
        <v>114.1</v>
      </c>
      <c r="L59" s="88">
        <v>105.1</v>
      </c>
      <c r="M59" s="88">
        <v>114.6</v>
      </c>
      <c r="N59" s="88">
        <v>115.8</v>
      </c>
      <c r="O59" s="88">
        <v>121.7</v>
      </c>
      <c r="P59" s="88">
        <v>125.3</v>
      </c>
      <c r="Q59" s="88">
        <v>118.8</v>
      </c>
      <c r="R59" s="88">
        <v>120.9</v>
      </c>
      <c r="S59" s="88">
        <v>118.8</v>
      </c>
      <c r="T59" s="88">
        <v>120.7</v>
      </c>
      <c r="U59" s="88" t="s">
        <v>32</v>
      </c>
      <c r="V59" s="88">
        <v>115.4</v>
      </c>
      <c r="W59" s="88">
        <v>115.9</v>
      </c>
      <c r="X59" s="88">
        <v>114</v>
      </c>
      <c r="Y59" s="88">
        <v>113.2</v>
      </c>
      <c r="Z59" s="88">
        <v>112.2</v>
      </c>
      <c r="AA59" s="88">
        <v>116.2</v>
      </c>
      <c r="AB59" s="88">
        <v>109.4</v>
      </c>
      <c r="AC59" s="88">
        <v>113.5</v>
      </c>
      <c r="AD59" s="88">
        <v>120.7</v>
      </c>
      <c r="AE59" s="88">
        <f t="shared" si="9"/>
        <v>1582.2999999999997</v>
      </c>
      <c r="AF59" s="88">
        <f t="shared" si="1"/>
        <v>118.8</v>
      </c>
      <c r="AG59" s="88">
        <f t="shared" si="2"/>
        <v>360.4</v>
      </c>
      <c r="AH59" s="88">
        <f t="shared" si="3"/>
        <v>231.3</v>
      </c>
      <c r="AI59" s="88">
        <f t="shared" si="4"/>
        <v>339.6</v>
      </c>
      <c r="AJ59" s="88">
        <f t="shared" si="5"/>
        <v>113.2</v>
      </c>
      <c r="AK59" s="88">
        <f t="shared" si="6"/>
        <v>112.2</v>
      </c>
      <c r="AL59" s="88">
        <f t="shared" si="7"/>
        <v>113.5</v>
      </c>
      <c r="AM59" s="89"/>
    </row>
    <row r="60" spans="1:39" x14ac:dyDescent="0.3">
      <c r="A60" s="84" t="s">
        <v>33</v>
      </c>
      <c r="B60" s="85">
        <v>2014</v>
      </c>
      <c r="C60" s="85" t="s">
        <v>41</v>
      </c>
      <c r="D60" s="85">
        <v>124.8</v>
      </c>
      <c r="E60" s="85">
        <v>127.3</v>
      </c>
      <c r="F60" s="85">
        <v>116.5</v>
      </c>
      <c r="G60" s="85">
        <v>122.2</v>
      </c>
      <c r="H60" s="85">
        <v>103.6</v>
      </c>
      <c r="I60" s="85">
        <v>132.69999999999999</v>
      </c>
      <c r="J60" s="85">
        <v>181.9</v>
      </c>
      <c r="K60" s="85">
        <v>115.2</v>
      </c>
      <c r="L60" s="85">
        <v>102.7</v>
      </c>
      <c r="M60" s="85">
        <v>122.1</v>
      </c>
      <c r="N60" s="85">
        <v>114.4</v>
      </c>
      <c r="O60" s="85">
        <v>124.7</v>
      </c>
      <c r="P60" s="85">
        <v>128.9</v>
      </c>
      <c r="Q60" s="85">
        <v>123</v>
      </c>
      <c r="R60" s="85">
        <v>118.6</v>
      </c>
      <c r="S60" s="85">
        <v>114.1</v>
      </c>
      <c r="T60" s="85">
        <v>117.9</v>
      </c>
      <c r="U60" s="85">
        <v>115.5</v>
      </c>
      <c r="V60" s="85">
        <v>111.8</v>
      </c>
      <c r="W60" s="85">
        <v>115.3</v>
      </c>
      <c r="X60" s="85">
        <v>112.2</v>
      </c>
      <c r="Y60" s="85">
        <v>112.5</v>
      </c>
      <c r="Z60" s="85">
        <v>112.9</v>
      </c>
      <c r="AA60" s="85">
        <v>119.2</v>
      </c>
      <c r="AB60" s="85">
        <v>110.5</v>
      </c>
      <c r="AC60" s="85">
        <v>113.9</v>
      </c>
      <c r="AD60" s="85">
        <v>119.9</v>
      </c>
      <c r="AE60" s="85">
        <f t="shared" si="9"/>
        <v>1617</v>
      </c>
      <c r="AF60" s="85">
        <f t="shared" si="1"/>
        <v>123</v>
      </c>
      <c r="AG60" s="85">
        <f t="shared" si="2"/>
        <v>350.6</v>
      </c>
      <c r="AH60" s="85">
        <f t="shared" si="3"/>
        <v>342.6</v>
      </c>
      <c r="AI60" s="85">
        <f t="shared" si="4"/>
        <v>341.9</v>
      </c>
      <c r="AJ60" s="85">
        <f t="shared" si="5"/>
        <v>112.5</v>
      </c>
      <c r="AK60" s="85">
        <f t="shared" si="6"/>
        <v>112.9</v>
      </c>
      <c r="AL60" s="85">
        <f t="shared" si="7"/>
        <v>113.9</v>
      </c>
      <c r="AM60" s="86"/>
    </row>
    <row r="61" spans="1:39" x14ac:dyDescent="0.3">
      <c r="A61" s="87" t="s">
        <v>34</v>
      </c>
      <c r="B61" s="88">
        <v>2014</v>
      </c>
      <c r="C61" s="88" t="s">
        <v>41</v>
      </c>
      <c r="D61" s="88">
        <v>122.7</v>
      </c>
      <c r="E61" s="88">
        <v>124.4</v>
      </c>
      <c r="F61" s="88">
        <v>117.3</v>
      </c>
      <c r="G61" s="88">
        <v>122</v>
      </c>
      <c r="H61" s="88">
        <v>108</v>
      </c>
      <c r="I61" s="88">
        <v>131.1</v>
      </c>
      <c r="J61" s="88">
        <v>168.2</v>
      </c>
      <c r="K61" s="88">
        <v>114.5</v>
      </c>
      <c r="L61" s="88">
        <v>104.3</v>
      </c>
      <c r="M61" s="88">
        <v>117.1</v>
      </c>
      <c r="N61" s="88">
        <v>115.2</v>
      </c>
      <c r="O61" s="88">
        <v>123.1</v>
      </c>
      <c r="P61" s="88">
        <v>126.6</v>
      </c>
      <c r="Q61" s="88">
        <v>119.9</v>
      </c>
      <c r="R61" s="88">
        <v>120</v>
      </c>
      <c r="S61" s="88">
        <v>116.8</v>
      </c>
      <c r="T61" s="88">
        <v>119.6</v>
      </c>
      <c r="U61" s="88">
        <v>115.5</v>
      </c>
      <c r="V61" s="88">
        <v>114</v>
      </c>
      <c r="W61" s="88">
        <v>115.6</v>
      </c>
      <c r="X61" s="88">
        <v>113.3</v>
      </c>
      <c r="Y61" s="88">
        <v>112.8</v>
      </c>
      <c r="Z61" s="88">
        <v>112.6</v>
      </c>
      <c r="AA61" s="88">
        <v>118</v>
      </c>
      <c r="AB61" s="88">
        <v>109.9</v>
      </c>
      <c r="AC61" s="88">
        <v>113.7</v>
      </c>
      <c r="AD61" s="88">
        <v>120.3</v>
      </c>
      <c r="AE61" s="88">
        <f t="shared" si="9"/>
        <v>1594.4999999999998</v>
      </c>
      <c r="AF61" s="88">
        <f t="shared" si="1"/>
        <v>119.9</v>
      </c>
      <c r="AG61" s="88">
        <f t="shared" si="2"/>
        <v>356.4</v>
      </c>
      <c r="AH61" s="88">
        <f t="shared" si="3"/>
        <v>345.1</v>
      </c>
      <c r="AI61" s="88">
        <f t="shared" si="4"/>
        <v>341.20000000000005</v>
      </c>
      <c r="AJ61" s="88">
        <f t="shared" si="5"/>
        <v>112.8</v>
      </c>
      <c r="AK61" s="88">
        <f t="shared" si="6"/>
        <v>112.6</v>
      </c>
      <c r="AL61" s="88">
        <f t="shared" si="7"/>
        <v>113.7</v>
      </c>
      <c r="AM61" s="89"/>
    </row>
    <row r="62" spans="1:39" x14ac:dyDescent="0.3">
      <c r="A62" s="84" t="s">
        <v>30</v>
      </c>
      <c r="B62" s="85">
        <v>2014</v>
      </c>
      <c r="C62" s="85" t="s">
        <v>42</v>
      </c>
      <c r="D62" s="85">
        <v>122.3</v>
      </c>
      <c r="E62" s="85">
        <v>122.4</v>
      </c>
      <c r="F62" s="85">
        <v>117.8</v>
      </c>
      <c r="G62" s="85">
        <v>122.7</v>
      </c>
      <c r="H62" s="85">
        <v>110.4</v>
      </c>
      <c r="I62" s="85">
        <v>129.80000000000001</v>
      </c>
      <c r="J62" s="85">
        <v>158.80000000000001</v>
      </c>
      <c r="K62" s="85">
        <v>115</v>
      </c>
      <c r="L62" s="85">
        <v>104.7</v>
      </c>
      <c r="M62" s="85">
        <v>114.9</v>
      </c>
      <c r="N62" s="85">
        <v>116.5</v>
      </c>
      <c r="O62" s="85">
        <v>122.6</v>
      </c>
      <c r="P62" s="85">
        <v>125.3</v>
      </c>
      <c r="Q62" s="85">
        <v>119.5</v>
      </c>
      <c r="R62" s="85">
        <v>121.7</v>
      </c>
      <c r="S62" s="85">
        <v>119.2</v>
      </c>
      <c r="T62" s="85">
        <v>121.3</v>
      </c>
      <c r="U62" s="85" t="s">
        <v>32</v>
      </c>
      <c r="V62" s="85">
        <v>115.8</v>
      </c>
      <c r="W62" s="85">
        <v>116.7</v>
      </c>
      <c r="X62" s="85">
        <v>114.5</v>
      </c>
      <c r="Y62" s="85">
        <v>112.8</v>
      </c>
      <c r="Z62" s="85">
        <v>112.6</v>
      </c>
      <c r="AA62" s="85">
        <v>116.6</v>
      </c>
      <c r="AB62" s="85">
        <v>109.1</v>
      </c>
      <c r="AC62" s="85">
        <v>113.7</v>
      </c>
      <c r="AD62" s="85">
        <v>120.9</v>
      </c>
      <c r="AE62" s="85">
        <f t="shared" si="9"/>
        <v>1583.2</v>
      </c>
      <c r="AF62" s="85">
        <f t="shared" si="1"/>
        <v>119.5</v>
      </c>
      <c r="AG62" s="85">
        <f t="shared" si="2"/>
        <v>362.2</v>
      </c>
      <c r="AH62" s="85">
        <f t="shared" si="3"/>
        <v>232.5</v>
      </c>
      <c r="AI62" s="85">
        <f t="shared" si="4"/>
        <v>340.2</v>
      </c>
      <c r="AJ62" s="85">
        <f t="shared" si="5"/>
        <v>112.8</v>
      </c>
      <c r="AK62" s="85">
        <f t="shared" si="6"/>
        <v>112.6</v>
      </c>
      <c r="AL62" s="85">
        <f t="shared" si="7"/>
        <v>113.7</v>
      </c>
      <c r="AM62" s="86"/>
    </row>
    <row r="63" spans="1:39" x14ac:dyDescent="0.3">
      <c r="A63" s="87" t="s">
        <v>33</v>
      </c>
      <c r="B63" s="88">
        <v>2014</v>
      </c>
      <c r="C63" s="88" t="s">
        <v>42</v>
      </c>
      <c r="D63" s="88">
        <v>124.2</v>
      </c>
      <c r="E63" s="88">
        <v>125.4</v>
      </c>
      <c r="F63" s="88">
        <v>116.4</v>
      </c>
      <c r="G63" s="88">
        <v>122.7</v>
      </c>
      <c r="H63" s="88">
        <v>103.5</v>
      </c>
      <c r="I63" s="88">
        <v>124.5</v>
      </c>
      <c r="J63" s="88">
        <v>168.6</v>
      </c>
      <c r="K63" s="88">
        <v>116.9</v>
      </c>
      <c r="L63" s="88">
        <v>101.9</v>
      </c>
      <c r="M63" s="88">
        <v>122.9</v>
      </c>
      <c r="N63" s="88">
        <v>114.8</v>
      </c>
      <c r="O63" s="88">
        <v>125.2</v>
      </c>
      <c r="P63" s="88">
        <v>126.7</v>
      </c>
      <c r="Q63" s="88">
        <v>124.3</v>
      </c>
      <c r="R63" s="88">
        <v>119.2</v>
      </c>
      <c r="S63" s="88">
        <v>114.5</v>
      </c>
      <c r="T63" s="88">
        <v>118.4</v>
      </c>
      <c r="U63" s="88">
        <v>116.1</v>
      </c>
      <c r="V63" s="88">
        <v>111.8</v>
      </c>
      <c r="W63" s="88">
        <v>115.5</v>
      </c>
      <c r="X63" s="88">
        <v>112.3</v>
      </c>
      <c r="Y63" s="88">
        <v>111.2</v>
      </c>
      <c r="Z63" s="88">
        <v>113.4</v>
      </c>
      <c r="AA63" s="88">
        <v>120</v>
      </c>
      <c r="AB63" s="88">
        <v>110</v>
      </c>
      <c r="AC63" s="88">
        <v>113.6</v>
      </c>
      <c r="AD63" s="88">
        <v>119.2</v>
      </c>
      <c r="AE63" s="88">
        <f t="shared" si="9"/>
        <v>1593.7000000000003</v>
      </c>
      <c r="AF63" s="88">
        <f t="shared" si="1"/>
        <v>124.3</v>
      </c>
      <c r="AG63" s="88">
        <f t="shared" si="2"/>
        <v>352.1</v>
      </c>
      <c r="AH63" s="88">
        <f t="shared" si="3"/>
        <v>343.4</v>
      </c>
      <c r="AI63" s="88">
        <f t="shared" si="4"/>
        <v>342.3</v>
      </c>
      <c r="AJ63" s="88">
        <f t="shared" si="5"/>
        <v>111.2</v>
      </c>
      <c r="AK63" s="88">
        <f t="shared" si="6"/>
        <v>113.4</v>
      </c>
      <c r="AL63" s="88">
        <f t="shared" si="7"/>
        <v>113.6</v>
      </c>
      <c r="AM63" s="89"/>
    </row>
    <row r="64" spans="1:39" x14ac:dyDescent="0.3">
      <c r="A64" s="84" t="s">
        <v>34</v>
      </c>
      <c r="B64" s="85">
        <v>2014</v>
      </c>
      <c r="C64" s="85" t="s">
        <v>42</v>
      </c>
      <c r="D64" s="85">
        <v>122.9</v>
      </c>
      <c r="E64" s="85">
        <v>123.5</v>
      </c>
      <c r="F64" s="85">
        <v>117.3</v>
      </c>
      <c r="G64" s="85">
        <v>122.7</v>
      </c>
      <c r="H64" s="85">
        <v>107.9</v>
      </c>
      <c r="I64" s="85">
        <v>127.3</v>
      </c>
      <c r="J64" s="85">
        <v>162.1</v>
      </c>
      <c r="K64" s="85">
        <v>115.6</v>
      </c>
      <c r="L64" s="85">
        <v>103.8</v>
      </c>
      <c r="M64" s="85">
        <v>117.6</v>
      </c>
      <c r="N64" s="85">
        <v>115.8</v>
      </c>
      <c r="O64" s="85">
        <v>123.8</v>
      </c>
      <c r="P64" s="85">
        <v>125.8</v>
      </c>
      <c r="Q64" s="85">
        <v>120.8</v>
      </c>
      <c r="R64" s="85">
        <v>120.7</v>
      </c>
      <c r="S64" s="85">
        <v>117.2</v>
      </c>
      <c r="T64" s="85">
        <v>120.1</v>
      </c>
      <c r="U64" s="85">
        <v>116.1</v>
      </c>
      <c r="V64" s="85">
        <v>114.3</v>
      </c>
      <c r="W64" s="85">
        <v>116.1</v>
      </c>
      <c r="X64" s="85">
        <v>113.7</v>
      </c>
      <c r="Y64" s="85">
        <v>112</v>
      </c>
      <c r="Z64" s="85">
        <v>113.1</v>
      </c>
      <c r="AA64" s="85">
        <v>118.6</v>
      </c>
      <c r="AB64" s="85">
        <v>109.5</v>
      </c>
      <c r="AC64" s="85">
        <v>113.7</v>
      </c>
      <c r="AD64" s="85">
        <v>120.1</v>
      </c>
      <c r="AE64" s="85">
        <f t="shared" si="9"/>
        <v>1586.0999999999997</v>
      </c>
      <c r="AF64" s="85">
        <f t="shared" si="1"/>
        <v>120.8</v>
      </c>
      <c r="AG64" s="85">
        <f t="shared" si="2"/>
        <v>358</v>
      </c>
      <c r="AH64" s="85">
        <f t="shared" si="3"/>
        <v>346.5</v>
      </c>
      <c r="AI64" s="85">
        <f t="shared" si="4"/>
        <v>341.8</v>
      </c>
      <c r="AJ64" s="85">
        <f t="shared" si="5"/>
        <v>112</v>
      </c>
      <c r="AK64" s="85">
        <f t="shared" si="6"/>
        <v>113.1</v>
      </c>
      <c r="AL64" s="85">
        <f t="shared" si="7"/>
        <v>113.7</v>
      </c>
      <c r="AM64" s="86"/>
    </row>
    <row r="65" spans="1:39" x14ac:dyDescent="0.3">
      <c r="A65" s="87" t="s">
        <v>30</v>
      </c>
      <c r="B65" s="88">
        <v>2014</v>
      </c>
      <c r="C65" s="88" t="s">
        <v>43</v>
      </c>
      <c r="D65" s="88">
        <v>122.6</v>
      </c>
      <c r="E65" s="88">
        <v>122.5</v>
      </c>
      <c r="F65" s="88">
        <v>118.3</v>
      </c>
      <c r="G65" s="88">
        <v>123.2</v>
      </c>
      <c r="H65" s="88">
        <v>110.5</v>
      </c>
      <c r="I65" s="88">
        <v>128.9</v>
      </c>
      <c r="J65" s="88">
        <v>155.30000000000001</v>
      </c>
      <c r="K65" s="88">
        <v>115.5</v>
      </c>
      <c r="L65" s="88">
        <v>104</v>
      </c>
      <c r="M65" s="88">
        <v>115.3</v>
      </c>
      <c r="N65" s="88">
        <v>116.8</v>
      </c>
      <c r="O65" s="88">
        <v>123.2</v>
      </c>
      <c r="P65" s="88">
        <v>125.1</v>
      </c>
      <c r="Q65" s="88">
        <v>120</v>
      </c>
      <c r="R65" s="88">
        <v>122.7</v>
      </c>
      <c r="S65" s="88">
        <v>120.3</v>
      </c>
      <c r="T65" s="88">
        <v>122.3</v>
      </c>
      <c r="U65" s="88" t="s">
        <v>32</v>
      </c>
      <c r="V65" s="88">
        <v>116.4</v>
      </c>
      <c r="W65" s="88">
        <v>117.5</v>
      </c>
      <c r="X65" s="88">
        <v>115.3</v>
      </c>
      <c r="Y65" s="88">
        <v>112.6</v>
      </c>
      <c r="Z65" s="88">
        <v>113</v>
      </c>
      <c r="AA65" s="88">
        <v>116.9</v>
      </c>
      <c r="AB65" s="88">
        <v>109.3</v>
      </c>
      <c r="AC65" s="88">
        <v>114</v>
      </c>
      <c r="AD65" s="88">
        <v>121</v>
      </c>
      <c r="AE65" s="88">
        <f t="shared" si="9"/>
        <v>1581.1999999999998</v>
      </c>
      <c r="AF65" s="88">
        <f t="shared" si="1"/>
        <v>120</v>
      </c>
      <c r="AG65" s="88">
        <f t="shared" si="2"/>
        <v>365.3</v>
      </c>
      <c r="AH65" s="88">
        <f t="shared" si="3"/>
        <v>233.9</v>
      </c>
      <c r="AI65" s="88">
        <f t="shared" si="4"/>
        <v>341.5</v>
      </c>
      <c r="AJ65" s="88">
        <f t="shared" si="5"/>
        <v>112.6</v>
      </c>
      <c r="AK65" s="88">
        <f t="shared" si="6"/>
        <v>113</v>
      </c>
      <c r="AL65" s="88">
        <f t="shared" si="7"/>
        <v>114</v>
      </c>
      <c r="AM65" s="89"/>
    </row>
    <row r="66" spans="1:39" x14ac:dyDescent="0.3">
      <c r="A66" s="84" t="s">
        <v>33</v>
      </c>
      <c r="B66" s="85">
        <v>2014</v>
      </c>
      <c r="C66" s="85" t="s">
        <v>43</v>
      </c>
      <c r="D66" s="85">
        <v>124.6</v>
      </c>
      <c r="E66" s="85">
        <v>126.1</v>
      </c>
      <c r="F66" s="85">
        <v>117.8</v>
      </c>
      <c r="G66" s="85">
        <v>123.1</v>
      </c>
      <c r="H66" s="85">
        <v>103.5</v>
      </c>
      <c r="I66" s="85">
        <v>123.5</v>
      </c>
      <c r="J66" s="85">
        <v>159.6</v>
      </c>
      <c r="K66" s="85">
        <v>117.4</v>
      </c>
      <c r="L66" s="85">
        <v>101.2</v>
      </c>
      <c r="M66" s="85">
        <v>123.8</v>
      </c>
      <c r="N66" s="85">
        <v>115.2</v>
      </c>
      <c r="O66" s="85">
        <v>125.9</v>
      </c>
      <c r="P66" s="85">
        <v>125.8</v>
      </c>
      <c r="Q66" s="85">
        <v>124.3</v>
      </c>
      <c r="R66" s="85">
        <v>119.6</v>
      </c>
      <c r="S66" s="85">
        <v>114.9</v>
      </c>
      <c r="T66" s="85">
        <v>118.9</v>
      </c>
      <c r="U66" s="85">
        <v>116.7</v>
      </c>
      <c r="V66" s="85">
        <v>112</v>
      </c>
      <c r="W66" s="85">
        <v>115.8</v>
      </c>
      <c r="X66" s="85">
        <v>112.6</v>
      </c>
      <c r="Y66" s="85">
        <v>111</v>
      </c>
      <c r="Z66" s="85">
        <v>113.6</v>
      </c>
      <c r="AA66" s="85">
        <v>120.2</v>
      </c>
      <c r="AB66" s="85">
        <v>110.1</v>
      </c>
      <c r="AC66" s="85">
        <v>113.7</v>
      </c>
      <c r="AD66" s="85">
        <v>119.1</v>
      </c>
      <c r="AE66" s="85">
        <f t="shared" si="9"/>
        <v>1587.5</v>
      </c>
      <c r="AF66" s="85">
        <f t="shared" si="1"/>
        <v>124.3</v>
      </c>
      <c r="AG66" s="85">
        <f t="shared" si="2"/>
        <v>353.4</v>
      </c>
      <c r="AH66" s="85">
        <f t="shared" si="3"/>
        <v>344.5</v>
      </c>
      <c r="AI66" s="85">
        <f t="shared" si="4"/>
        <v>342.9</v>
      </c>
      <c r="AJ66" s="85">
        <f t="shared" si="5"/>
        <v>111</v>
      </c>
      <c r="AK66" s="85">
        <f t="shared" si="6"/>
        <v>113.6</v>
      </c>
      <c r="AL66" s="85">
        <f t="shared" si="7"/>
        <v>113.7</v>
      </c>
      <c r="AM66" s="86"/>
    </row>
    <row r="67" spans="1:39" x14ac:dyDescent="0.3">
      <c r="A67" s="87" t="s">
        <v>34</v>
      </c>
      <c r="B67" s="88">
        <v>2014</v>
      </c>
      <c r="C67" s="88" t="s">
        <v>43</v>
      </c>
      <c r="D67" s="88">
        <v>123.2</v>
      </c>
      <c r="E67" s="88">
        <v>123.8</v>
      </c>
      <c r="F67" s="88">
        <v>118.1</v>
      </c>
      <c r="G67" s="88">
        <v>123.2</v>
      </c>
      <c r="H67" s="88">
        <v>107.9</v>
      </c>
      <c r="I67" s="88">
        <v>126.4</v>
      </c>
      <c r="J67" s="88">
        <v>156.80000000000001</v>
      </c>
      <c r="K67" s="88">
        <v>116.1</v>
      </c>
      <c r="L67" s="88">
        <v>103.1</v>
      </c>
      <c r="M67" s="88">
        <v>118.1</v>
      </c>
      <c r="N67" s="88">
        <v>116.1</v>
      </c>
      <c r="O67" s="88">
        <v>124.5</v>
      </c>
      <c r="P67" s="88">
        <v>125.4</v>
      </c>
      <c r="Q67" s="88">
        <v>121.1</v>
      </c>
      <c r="R67" s="88">
        <v>121.5</v>
      </c>
      <c r="S67" s="88">
        <v>118.1</v>
      </c>
      <c r="T67" s="88">
        <v>121</v>
      </c>
      <c r="U67" s="88">
        <v>116.7</v>
      </c>
      <c r="V67" s="88">
        <v>114.7</v>
      </c>
      <c r="W67" s="88">
        <v>116.7</v>
      </c>
      <c r="X67" s="88">
        <v>114.3</v>
      </c>
      <c r="Y67" s="88">
        <v>111.8</v>
      </c>
      <c r="Z67" s="88">
        <v>113.3</v>
      </c>
      <c r="AA67" s="88">
        <v>118.8</v>
      </c>
      <c r="AB67" s="88">
        <v>109.6</v>
      </c>
      <c r="AC67" s="88">
        <v>113.9</v>
      </c>
      <c r="AD67" s="88">
        <v>120.1</v>
      </c>
      <c r="AE67" s="88">
        <f t="shared" ref="AE67:AE130" si="10">SUM(D67:P67)</f>
        <v>1582.7</v>
      </c>
      <c r="AF67" s="88">
        <f t="shared" ref="AF67:AF130" si="11">SUM(Q67)</f>
        <v>121.1</v>
      </c>
      <c r="AG67" s="88">
        <f t="shared" ref="AG67:AG130" si="12">SUM(R67:T67)</f>
        <v>360.6</v>
      </c>
      <c r="AH67" s="88">
        <f t="shared" ref="AH67:AH130" si="13">SUM(U67:W67)</f>
        <v>348.1</v>
      </c>
      <c r="AI67" s="88">
        <f t="shared" ref="AI67:AI130" si="14">SUM(X67,AA67,AB67)</f>
        <v>342.7</v>
      </c>
      <c r="AJ67" s="88">
        <f t="shared" ref="AJ67:AJ130" si="15">SUM(Y67)</f>
        <v>111.8</v>
      </c>
      <c r="AK67" s="88">
        <f t="shared" ref="AK67:AK130" si="16">SUM(Z67)</f>
        <v>113.3</v>
      </c>
      <c r="AL67" s="88">
        <f t="shared" ref="AL67:AL130" si="17">SUM(AC67)</f>
        <v>113.9</v>
      </c>
      <c r="AM67" s="89"/>
    </row>
    <row r="68" spans="1:39" x14ac:dyDescent="0.3">
      <c r="A68" s="84" t="s">
        <v>30</v>
      </c>
      <c r="B68" s="85">
        <v>2014</v>
      </c>
      <c r="C68" s="85" t="s">
        <v>45</v>
      </c>
      <c r="D68" s="85">
        <v>122.7</v>
      </c>
      <c r="E68" s="85">
        <v>122.6</v>
      </c>
      <c r="F68" s="85">
        <v>119.9</v>
      </c>
      <c r="G68" s="85">
        <v>124</v>
      </c>
      <c r="H68" s="85">
        <v>110.5</v>
      </c>
      <c r="I68" s="85">
        <v>128.80000000000001</v>
      </c>
      <c r="J68" s="85">
        <v>152</v>
      </c>
      <c r="K68" s="85">
        <v>116.2</v>
      </c>
      <c r="L68" s="85">
        <v>103.3</v>
      </c>
      <c r="M68" s="85">
        <v>115.8</v>
      </c>
      <c r="N68" s="85">
        <v>116.8</v>
      </c>
      <c r="O68" s="85">
        <v>124.5</v>
      </c>
      <c r="P68" s="85">
        <v>124.9</v>
      </c>
      <c r="Q68" s="85">
        <v>120.8</v>
      </c>
      <c r="R68" s="85">
        <v>123.3</v>
      </c>
      <c r="S68" s="85">
        <v>120.5</v>
      </c>
      <c r="T68" s="85">
        <v>122.9</v>
      </c>
      <c r="U68" s="85" t="s">
        <v>32</v>
      </c>
      <c r="V68" s="85">
        <v>117.3</v>
      </c>
      <c r="W68" s="85">
        <v>118.1</v>
      </c>
      <c r="X68" s="85">
        <v>115.9</v>
      </c>
      <c r="Y68" s="85">
        <v>112</v>
      </c>
      <c r="Z68" s="85">
        <v>113.3</v>
      </c>
      <c r="AA68" s="85">
        <v>117.2</v>
      </c>
      <c r="AB68" s="85">
        <v>108.8</v>
      </c>
      <c r="AC68" s="85">
        <v>114.1</v>
      </c>
      <c r="AD68" s="85">
        <v>121.1</v>
      </c>
      <c r="AE68" s="85">
        <f t="shared" si="10"/>
        <v>1582</v>
      </c>
      <c r="AF68" s="85">
        <f t="shared" si="11"/>
        <v>120.8</v>
      </c>
      <c r="AG68" s="85">
        <f t="shared" si="12"/>
        <v>366.70000000000005</v>
      </c>
      <c r="AH68" s="85">
        <f t="shared" si="13"/>
        <v>235.39999999999998</v>
      </c>
      <c r="AI68" s="85">
        <f t="shared" si="14"/>
        <v>341.90000000000003</v>
      </c>
      <c r="AJ68" s="85">
        <f t="shared" si="15"/>
        <v>112</v>
      </c>
      <c r="AK68" s="85">
        <f t="shared" si="16"/>
        <v>113.3</v>
      </c>
      <c r="AL68" s="85">
        <f t="shared" si="17"/>
        <v>114.1</v>
      </c>
      <c r="AM68" s="86"/>
    </row>
    <row r="69" spans="1:39" x14ac:dyDescent="0.3">
      <c r="A69" s="87" t="s">
        <v>33</v>
      </c>
      <c r="B69" s="88">
        <v>2014</v>
      </c>
      <c r="C69" s="88" t="s">
        <v>45</v>
      </c>
      <c r="D69" s="88">
        <v>124.5</v>
      </c>
      <c r="E69" s="88">
        <v>125.6</v>
      </c>
      <c r="F69" s="88">
        <v>122.7</v>
      </c>
      <c r="G69" s="88">
        <v>124.6</v>
      </c>
      <c r="H69" s="88">
        <v>103.2</v>
      </c>
      <c r="I69" s="88">
        <v>122.2</v>
      </c>
      <c r="J69" s="88">
        <v>153.19999999999999</v>
      </c>
      <c r="K69" s="88">
        <v>119.3</v>
      </c>
      <c r="L69" s="88">
        <v>99.8</v>
      </c>
      <c r="M69" s="88">
        <v>124.6</v>
      </c>
      <c r="N69" s="88">
        <v>115.8</v>
      </c>
      <c r="O69" s="88">
        <v>126.9</v>
      </c>
      <c r="P69" s="88">
        <v>125.4</v>
      </c>
      <c r="Q69" s="88">
        <v>125.8</v>
      </c>
      <c r="R69" s="88">
        <v>120.3</v>
      </c>
      <c r="S69" s="88">
        <v>115.4</v>
      </c>
      <c r="T69" s="88">
        <v>119.5</v>
      </c>
      <c r="U69" s="88">
        <v>117.1</v>
      </c>
      <c r="V69" s="88">
        <v>112.6</v>
      </c>
      <c r="W69" s="88">
        <v>116.4</v>
      </c>
      <c r="X69" s="88">
        <v>113</v>
      </c>
      <c r="Y69" s="88">
        <v>109.7</v>
      </c>
      <c r="Z69" s="88">
        <v>114</v>
      </c>
      <c r="AA69" s="88">
        <v>120.3</v>
      </c>
      <c r="AB69" s="88">
        <v>109.6</v>
      </c>
      <c r="AC69" s="88">
        <v>113.4</v>
      </c>
      <c r="AD69" s="88">
        <v>119</v>
      </c>
      <c r="AE69" s="88">
        <f t="shared" si="10"/>
        <v>1587.8</v>
      </c>
      <c r="AF69" s="88">
        <f t="shared" si="11"/>
        <v>125.8</v>
      </c>
      <c r="AG69" s="88">
        <f t="shared" si="12"/>
        <v>355.2</v>
      </c>
      <c r="AH69" s="88">
        <f t="shared" si="13"/>
        <v>346.1</v>
      </c>
      <c r="AI69" s="88">
        <f t="shared" si="14"/>
        <v>342.9</v>
      </c>
      <c r="AJ69" s="88">
        <f t="shared" si="15"/>
        <v>109.7</v>
      </c>
      <c r="AK69" s="88">
        <f t="shared" si="16"/>
        <v>114</v>
      </c>
      <c r="AL69" s="88">
        <f t="shared" si="17"/>
        <v>113.4</v>
      </c>
      <c r="AM69" s="89"/>
    </row>
    <row r="70" spans="1:39" x14ac:dyDescent="0.3">
      <c r="A70" s="84" t="s">
        <v>34</v>
      </c>
      <c r="B70" s="85">
        <v>2014</v>
      </c>
      <c r="C70" s="85" t="s">
        <v>45</v>
      </c>
      <c r="D70" s="85">
        <v>123.3</v>
      </c>
      <c r="E70" s="85">
        <v>123.7</v>
      </c>
      <c r="F70" s="85">
        <v>121</v>
      </c>
      <c r="G70" s="85">
        <v>124.2</v>
      </c>
      <c r="H70" s="85">
        <v>107.8</v>
      </c>
      <c r="I70" s="85">
        <v>125.7</v>
      </c>
      <c r="J70" s="85">
        <v>152.4</v>
      </c>
      <c r="K70" s="85">
        <v>117.2</v>
      </c>
      <c r="L70" s="85">
        <v>102.1</v>
      </c>
      <c r="M70" s="85">
        <v>118.7</v>
      </c>
      <c r="N70" s="85">
        <v>116.4</v>
      </c>
      <c r="O70" s="85">
        <v>125.6</v>
      </c>
      <c r="P70" s="85">
        <v>125.1</v>
      </c>
      <c r="Q70" s="85">
        <v>122.1</v>
      </c>
      <c r="R70" s="85">
        <v>122.1</v>
      </c>
      <c r="S70" s="85">
        <v>118.4</v>
      </c>
      <c r="T70" s="85">
        <v>121.6</v>
      </c>
      <c r="U70" s="85">
        <v>117.1</v>
      </c>
      <c r="V70" s="85">
        <v>115.5</v>
      </c>
      <c r="W70" s="85">
        <v>117.3</v>
      </c>
      <c r="X70" s="85">
        <v>114.8</v>
      </c>
      <c r="Y70" s="85">
        <v>110.8</v>
      </c>
      <c r="Z70" s="85">
        <v>113.7</v>
      </c>
      <c r="AA70" s="85">
        <v>119</v>
      </c>
      <c r="AB70" s="85">
        <v>109.1</v>
      </c>
      <c r="AC70" s="85">
        <v>113.8</v>
      </c>
      <c r="AD70" s="85">
        <v>120.1</v>
      </c>
      <c r="AE70" s="85">
        <f t="shared" si="10"/>
        <v>1583.2</v>
      </c>
      <c r="AF70" s="85">
        <f t="shared" si="11"/>
        <v>122.1</v>
      </c>
      <c r="AG70" s="85">
        <f t="shared" si="12"/>
        <v>362.1</v>
      </c>
      <c r="AH70" s="85">
        <f t="shared" si="13"/>
        <v>349.9</v>
      </c>
      <c r="AI70" s="85">
        <f t="shared" si="14"/>
        <v>342.9</v>
      </c>
      <c r="AJ70" s="85">
        <f t="shared" si="15"/>
        <v>110.8</v>
      </c>
      <c r="AK70" s="85">
        <f t="shared" si="16"/>
        <v>113.7</v>
      </c>
      <c r="AL70" s="85">
        <f t="shared" si="17"/>
        <v>113.8</v>
      </c>
      <c r="AM70" s="86"/>
    </row>
    <row r="71" spans="1:39" x14ac:dyDescent="0.3">
      <c r="A71" s="87" t="s">
        <v>30</v>
      </c>
      <c r="B71" s="88">
        <v>2014</v>
      </c>
      <c r="C71" s="88" t="s">
        <v>46</v>
      </c>
      <c r="D71" s="88">
        <v>122.4</v>
      </c>
      <c r="E71" s="88">
        <v>122.4</v>
      </c>
      <c r="F71" s="88">
        <v>121.8</v>
      </c>
      <c r="G71" s="88">
        <v>124.2</v>
      </c>
      <c r="H71" s="88">
        <v>110.2</v>
      </c>
      <c r="I71" s="88">
        <v>128.6</v>
      </c>
      <c r="J71" s="88">
        <v>140.30000000000001</v>
      </c>
      <c r="K71" s="88">
        <v>116.3</v>
      </c>
      <c r="L71" s="88">
        <v>102</v>
      </c>
      <c r="M71" s="88">
        <v>116</v>
      </c>
      <c r="N71" s="88">
        <v>117.3</v>
      </c>
      <c r="O71" s="88">
        <v>124.8</v>
      </c>
      <c r="P71" s="88">
        <v>123.3</v>
      </c>
      <c r="Q71" s="88">
        <v>121.7</v>
      </c>
      <c r="R71" s="88">
        <v>123.8</v>
      </c>
      <c r="S71" s="88">
        <v>120.6</v>
      </c>
      <c r="T71" s="88">
        <v>123.3</v>
      </c>
      <c r="U71" s="88" t="s">
        <v>32</v>
      </c>
      <c r="V71" s="88">
        <v>117.4</v>
      </c>
      <c r="W71" s="88">
        <v>118.2</v>
      </c>
      <c r="X71" s="88">
        <v>116.2</v>
      </c>
      <c r="Y71" s="88">
        <v>111.5</v>
      </c>
      <c r="Z71" s="88">
        <v>113.3</v>
      </c>
      <c r="AA71" s="88">
        <v>117.7</v>
      </c>
      <c r="AB71" s="88">
        <v>109.4</v>
      </c>
      <c r="AC71" s="88">
        <v>114.2</v>
      </c>
      <c r="AD71" s="88">
        <v>120.3</v>
      </c>
      <c r="AE71" s="88">
        <f t="shared" si="10"/>
        <v>1569.6</v>
      </c>
      <c r="AF71" s="88">
        <f t="shared" si="11"/>
        <v>121.7</v>
      </c>
      <c r="AG71" s="88">
        <f t="shared" si="12"/>
        <v>367.7</v>
      </c>
      <c r="AH71" s="88">
        <f t="shared" si="13"/>
        <v>235.60000000000002</v>
      </c>
      <c r="AI71" s="88">
        <f t="shared" si="14"/>
        <v>343.3</v>
      </c>
      <c r="AJ71" s="88">
        <f t="shared" si="15"/>
        <v>111.5</v>
      </c>
      <c r="AK71" s="88">
        <f t="shared" si="16"/>
        <v>113.3</v>
      </c>
      <c r="AL71" s="88">
        <f t="shared" si="17"/>
        <v>114.2</v>
      </c>
      <c r="AM71" s="89"/>
    </row>
    <row r="72" spans="1:39" x14ac:dyDescent="0.3">
      <c r="A72" s="84" t="s">
        <v>33</v>
      </c>
      <c r="B72" s="85">
        <v>2014</v>
      </c>
      <c r="C72" s="85" t="s">
        <v>46</v>
      </c>
      <c r="D72" s="85">
        <v>124</v>
      </c>
      <c r="E72" s="85">
        <v>124.7</v>
      </c>
      <c r="F72" s="85">
        <v>126.3</v>
      </c>
      <c r="G72" s="85">
        <v>124.9</v>
      </c>
      <c r="H72" s="85">
        <v>103</v>
      </c>
      <c r="I72" s="85">
        <v>122.3</v>
      </c>
      <c r="J72" s="85">
        <v>141</v>
      </c>
      <c r="K72" s="85">
        <v>120.1</v>
      </c>
      <c r="L72" s="85">
        <v>97.8</v>
      </c>
      <c r="M72" s="85">
        <v>125.4</v>
      </c>
      <c r="N72" s="85">
        <v>116.1</v>
      </c>
      <c r="O72" s="85">
        <v>127.6</v>
      </c>
      <c r="P72" s="85">
        <v>124</v>
      </c>
      <c r="Q72" s="85">
        <v>126.4</v>
      </c>
      <c r="R72" s="85">
        <v>120.7</v>
      </c>
      <c r="S72" s="85">
        <v>115.8</v>
      </c>
      <c r="T72" s="85">
        <v>120</v>
      </c>
      <c r="U72" s="85">
        <v>116.5</v>
      </c>
      <c r="V72" s="85">
        <v>113</v>
      </c>
      <c r="W72" s="85">
        <v>116.8</v>
      </c>
      <c r="X72" s="85">
        <v>113.2</v>
      </c>
      <c r="Y72" s="85">
        <v>108.8</v>
      </c>
      <c r="Z72" s="85">
        <v>114.3</v>
      </c>
      <c r="AA72" s="85">
        <v>120.7</v>
      </c>
      <c r="AB72" s="85">
        <v>110.4</v>
      </c>
      <c r="AC72" s="85">
        <v>113.4</v>
      </c>
      <c r="AD72" s="85">
        <v>118.4</v>
      </c>
      <c r="AE72" s="85">
        <f t="shared" si="10"/>
        <v>1577.1999999999998</v>
      </c>
      <c r="AF72" s="85">
        <f t="shared" si="11"/>
        <v>126.4</v>
      </c>
      <c r="AG72" s="85">
        <f t="shared" si="12"/>
        <v>356.5</v>
      </c>
      <c r="AH72" s="85">
        <f t="shared" si="13"/>
        <v>346.3</v>
      </c>
      <c r="AI72" s="85">
        <f t="shared" si="14"/>
        <v>344.3</v>
      </c>
      <c r="AJ72" s="85">
        <f t="shared" si="15"/>
        <v>108.8</v>
      </c>
      <c r="AK72" s="85">
        <f t="shared" si="16"/>
        <v>114.3</v>
      </c>
      <c r="AL72" s="85">
        <f t="shared" si="17"/>
        <v>113.4</v>
      </c>
      <c r="AM72" s="86"/>
    </row>
    <row r="73" spans="1:39" x14ac:dyDescent="0.3">
      <c r="A73" s="87" t="s">
        <v>34</v>
      </c>
      <c r="B73" s="88">
        <v>2014</v>
      </c>
      <c r="C73" s="88" t="s">
        <v>46</v>
      </c>
      <c r="D73" s="88">
        <v>122.9</v>
      </c>
      <c r="E73" s="88">
        <v>123.2</v>
      </c>
      <c r="F73" s="88">
        <v>123.5</v>
      </c>
      <c r="G73" s="88">
        <v>124.5</v>
      </c>
      <c r="H73" s="88">
        <v>107.6</v>
      </c>
      <c r="I73" s="88">
        <v>125.7</v>
      </c>
      <c r="J73" s="88">
        <v>140.5</v>
      </c>
      <c r="K73" s="88">
        <v>117.6</v>
      </c>
      <c r="L73" s="88">
        <v>100.6</v>
      </c>
      <c r="M73" s="88">
        <v>119.1</v>
      </c>
      <c r="N73" s="88">
        <v>116.8</v>
      </c>
      <c r="O73" s="88">
        <v>126.1</v>
      </c>
      <c r="P73" s="88">
        <v>123.6</v>
      </c>
      <c r="Q73" s="88">
        <v>123</v>
      </c>
      <c r="R73" s="88">
        <v>122.6</v>
      </c>
      <c r="S73" s="88">
        <v>118.6</v>
      </c>
      <c r="T73" s="88">
        <v>122</v>
      </c>
      <c r="U73" s="88">
        <v>116.5</v>
      </c>
      <c r="V73" s="88">
        <v>115.7</v>
      </c>
      <c r="W73" s="88">
        <v>117.5</v>
      </c>
      <c r="X73" s="88">
        <v>115.1</v>
      </c>
      <c r="Y73" s="88">
        <v>110.1</v>
      </c>
      <c r="Z73" s="88">
        <v>113.9</v>
      </c>
      <c r="AA73" s="88">
        <v>119.5</v>
      </c>
      <c r="AB73" s="88">
        <v>109.8</v>
      </c>
      <c r="AC73" s="88">
        <v>113.8</v>
      </c>
      <c r="AD73" s="88">
        <v>119.4</v>
      </c>
      <c r="AE73" s="88">
        <f t="shared" si="10"/>
        <v>1571.6999999999998</v>
      </c>
      <c r="AF73" s="88">
        <f t="shared" si="11"/>
        <v>123</v>
      </c>
      <c r="AG73" s="88">
        <f t="shared" si="12"/>
        <v>363.2</v>
      </c>
      <c r="AH73" s="88">
        <f t="shared" si="13"/>
        <v>349.7</v>
      </c>
      <c r="AI73" s="88">
        <f t="shared" si="14"/>
        <v>344.4</v>
      </c>
      <c r="AJ73" s="88">
        <f t="shared" si="15"/>
        <v>110.1</v>
      </c>
      <c r="AK73" s="88">
        <f t="shared" si="16"/>
        <v>113.9</v>
      </c>
      <c r="AL73" s="88">
        <f t="shared" si="17"/>
        <v>113.8</v>
      </c>
      <c r="AM73" s="89"/>
    </row>
    <row r="74" spans="1:39" x14ac:dyDescent="0.3">
      <c r="A74" s="84" t="s">
        <v>30</v>
      </c>
      <c r="B74" s="85">
        <v>2015</v>
      </c>
      <c r="C74" s="85" t="s">
        <v>31</v>
      </c>
      <c r="D74" s="85">
        <v>123.1</v>
      </c>
      <c r="E74" s="85">
        <v>123.1</v>
      </c>
      <c r="F74" s="85">
        <v>122.1</v>
      </c>
      <c r="G74" s="85">
        <v>124.9</v>
      </c>
      <c r="H74" s="85">
        <v>111</v>
      </c>
      <c r="I74" s="85">
        <v>130.4</v>
      </c>
      <c r="J74" s="85">
        <v>132.30000000000001</v>
      </c>
      <c r="K74" s="85">
        <v>117.2</v>
      </c>
      <c r="L74" s="85">
        <v>100.5</v>
      </c>
      <c r="M74" s="85">
        <v>117.2</v>
      </c>
      <c r="N74" s="85">
        <v>117.9</v>
      </c>
      <c r="O74" s="85">
        <v>125.6</v>
      </c>
      <c r="P74" s="85">
        <v>122.8</v>
      </c>
      <c r="Q74" s="85">
        <v>122.7</v>
      </c>
      <c r="R74" s="85">
        <v>124.4</v>
      </c>
      <c r="S74" s="85">
        <v>121.6</v>
      </c>
      <c r="T74" s="85">
        <v>124</v>
      </c>
      <c r="U74" s="85" t="s">
        <v>32</v>
      </c>
      <c r="V74" s="85">
        <v>118.4</v>
      </c>
      <c r="W74" s="85">
        <v>118.9</v>
      </c>
      <c r="X74" s="85">
        <v>116.6</v>
      </c>
      <c r="Y74" s="85">
        <v>111</v>
      </c>
      <c r="Z74" s="85">
        <v>114</v>
      </c>
      <c r="AA74" s="85">
        <v>118.2</v>
      </c>
      <c r="AB74" s="85">
        <v>110.2</v>
      </c>
      <c r="AC74" s="85">
        <v>114.5</v>
      </c>
      <c r="AD74" s="85">
        <v>120.3</v>
      </c>
      <c r="AE74" s="85">
        <f t="shared" si="10"/>
        <v>1568.1</v>
      </c>
      <c r="AF74" s="85">
        <f t="shared" si="11"/>
        <v>122.7</v>
      </c>
      <c r="AG74" s="85">
        <f t="shared" si="12"/>
        <v>370</v>
      </c>
      <c r="AH74" s="85">
        <f t="shared" si="13"/>
        <v>237.3</v>
      </c>
      <c r="AI74" s="85">
        <f t="shared" si="14"/>
        <v>345</v>
      </c>
      <c r="AJ74" s="85">
        <f t="shared" si="15"/>
        <v>111</v>
      </c>
      <c r="AK74" s="85">
        <f t="shared" si="16"/>
        <v>114</v>
      </c>
      <c r="AL74" s="85">
        <f t="shared" si="17"/>
        <v>114.5</v>
      </c>
      <c r="AM74" s="86"/>
    </row>
    <row r="75" spans="1:39" x14ac:dyDescent="0.3">
      <c r="A75" s="87" t="s">
        <v>33</v>
      </c>
      <c r="B75" s="88">
        <v>2015</v>
      </c>
      <c r="C75" s="88" t="s">
        <v>31</v>
      </c>
      <c r="D75" s="88">
        <v>124</v>
      </c>
      <c r="E75" s="88">
        <v>125.5</v>
      </c>
      <c r="F75" s="88">
        <v>126.6</v>
      </c>
      <c r="G75" s="88">
        <v>125.2</v>
      </c>
      <c r="H75" s="88">
        <v>104.3</v>
      </c>
      <c r="I75" s="88">
        <v>121.3</v>
      </c>
      <c r="J75" s="88">
        <v>134.4</v>
      </c>
      <c r="K75" s="88">
        <v>122.9</v>
      </c>
      <c r="L75" s="88">
        <v>96.1</v>
      </c>
      <c r="M75" s="88">
        <v>126.6</v>
      </c>
      <c r="N75" s="88">
        <v>116.5</v>
      </c>
      <c r="O75" s="88">
        <v>128</v>
      </c>
      <c r="P75" s="88">
        <v>123.5</v>
      </c>
      <c r="Q75" s="88">
        <v>127.4</v>
      </c>
      <c r="R75" s="88">
        <v>121</v>
      </c>
      <c r="S75" s="88">
        <v>116.1</v>
      </c>
      <c r="T75" s="88">
        <v>120.2</v>
      </c>
      <c r="U75" s="88">
        <v>117.3</v>
      </c>
      <c r="V75" s="88">
        <v>113.4</v>
      </c>
      <c r="W75" s="88">
        <v>117.2</v>
      </c>
      <c r="X75" s="88">
        <v>113.7</v>
      </c>
      <c r="Y75" s="88">
        <v>107.9</v>
      </c>
      <c r="Z75" s="88">
        <v>114.6</v>
      </c>
      <c r="AA75" s="88">
        <v>120.8</v>
      </c>
      <c r="AB75" s="88">
        <v>111.4</v>
      </c>
      <c r="AC75" s="88">
        <v>113.4</v>
      </c>
      <c r="AD75" s="88">
        <v>118.5</v>
      </c>
      <c r="AE75" s="88">
        <f t="shared" si="10"/>
        <v>1574.8999999999999</v>
      </c>
      <c r="AF75" s="88">
        <f t="shared" si="11"/>
        <v>127.4</v>
      </c>
      <c r="AG75" s="88">
        <f t="shared" si="12"/>
        <v>357.3</v>
      </c>
      <c r="AH75" s="88">
        <f t="shared" si="13"/>
        <v>347.9</v>
      </c>
      <c r="AI75" s="88">
        <f t="shared" si="14"/>
        <v>345.9</v>
      </c>
      <c r="AJ75" s="88">
        <f t="shared" si="15"/>
        <v>107.9</v>
      </c>
      <c r="AK75" s="88">
        <f t="shared" si="16"/>
        <v>114.6</v>
      </c>
      <c r="AL75" s="88">
        <f t="shared" si="17"/>
        <v>113.4</v>
      </c>
      <c r="AM75" s="89"/>
    </row>
    <row r="76" spans="1:39" x14ac:dyDescent="0.3">
      <c r="A76" s="84" t="s">
        <v>34</v>
      </c>
      <c r="B76" s="85">
        <v>2015</v>
      </c>
      <c r="C76" s="85" t="s">
        <v>31</v>
      </c>
      <c r="D76" s="85">
        <v>123.4</v>
      </c>
      <c r="E76" s="85">
        <v>123.9</v>
      </c>
      <c r="F76" s="85">
        <v>123.8</v>
      </c>
      <c r="G76" s="85">
        <v>125</v>
      </c>
      <c r="H76" s="85">
        <v>108.5</v>
      </c>
      <c r="I76" s="85">
        <v>126.2</v>
      </c>
      <c r="J76" s="85">
        <v>133</v>
      </c>
      <c r="K76" s="85">
        <v>119.1</v>
      </c>
      <c r="L76" s="85">
        <v>99</v>
      </c>
      <c r="M76" s="85">
        <v>120.3</v>
      </c>
      <c r="N76" s="85">
        <v>117.3</v>
      </c>
      <c r="O76" s="85">
        <v>126.7</v>
      </c>
      <c r="P76" s="85">
        <v>123.1</v>
      </c>
      <c r="Q76" s="85">
        <v>124</v>
      </c>
      <c r="R76" s="85">
        <v>123.1</v>
      </c>
      <c r="S76" s="85">
        <v>119.3</v>
      </c>
      <c r="T76" s="85">
        <v>122.5</v>
      </c>
      <c r="U76" s="85">
        <v>117.3</v>
      </c>
      <c r="V76" s="85">
        <v>116.5</v>
      </c>
      <c r="W76" s="85">
        <v>118.1</v>
      </c>
      <c r="X76" s="85">
        <v>115.5</v>
      </c>
      <c r="Y76" s="85">
        <v>109.4</v>
      </c>
      <c r="Z76" s="85">
        <v>114.3</v>
      </c>
      <c r="AA76" s="85">
        <v>119.7</v>
      </c>
      <c r="AB76" s="85">
        <v>110.7</v>
      </c>
      <c r="AC76" s="85">
        <v>114</v>
      </c>
      <c r="AD76" s="85">
        <v>119.5</v>
      </c>
      <c r="AE76" s="85">
        <f t="shared" si="10"/>
        <v>1569.3</v>
      </c>
      <c r="AF76" s="85">
        <f t="shared" si="11"/>
        <v>124</v>
      </c>
      <c r="AG76" s="85">
        <f t="shared" si="12"/>
        <v>364.9</v>
      </c>
      <c r="AH76" s="85">
        <f t="shared" si="13"/>
        <v>351.9</v>
      </c>
      <c r="AI76" s="85">
        <f t="shared" si="14"/>
        <v>345.9</v>
      </c>
      <c r="AJ76" s="85">
        <f t="shared" si="15"/>
        <v>109.4</v>
      </c>
      <c r="AK76" s="85">
        <f t="shared" si="16"/>
        <v>114.3</v>
      </c>
      <c r="AL76" s="85">
        <f t="shared" si="17"/>
        <v>114</v>
      </c>
      <c r="AM76" s="86"/>
    </row>
    <row r="77" spans="1:39" x14ac:dyDescent="0.3">
      <c r="A77" s="87" t="s">
        <v>30</v>
      </c>
      <c r="B77" s="88">
        <v>2015</v>
      </c>
      <c r="C77" s="88" t="s">
        <v>35</v>
      </c>
      <c r="D77" s="88">
        <v>123.4</v>
      </c>
      <c r="E77" s="88">
        <v>124.4</v>
      </c>
      <c r="F77" s="88">
        <v>122.1</v>
      </c>
      <c r="G77" s="88">
        <v>125.8</v>
      </c>
      <c r="H77" s="88">
        <v>111.5</v>
      </c>
      <c r="I77" s="88">
        <v>129.4</v>
      </c>
      <c r="J77" s="88">
        <v>128.19999999999999</v>
      </c>
      <c r="K77" s="88">
        <v>118.8</v>
      </c>
      <c r="L77" s="88">
        <v>100</v>
      </c>
      <c r="M77" s="88">
        <v>118.6</v>
      </c>
      <c r="N77" s="88">
        <v>118.8</v>
      </c>
      <c r="O77" s="88">
        <v>126.8</v>
      </c>
      <c r="P77" s="88">
        <v>122.8</v>
      </c>
      <c r="Q77" s="88">
        <v>124.2</v>
      </c>
      <c r="R77" s="88">
        <v>125.4</v>
      </c>
      <c r="S77" s="88">
        <v>122.7</v>
      </c>
      <c r="T77" s="88">
        <v>125</v>
      </c>
      <c r="U77" s="88" t="s">
        <v>32</v>
      </c>
      <c r="V77" s="88">
        <v>120</v>
      </c>
      <c r="W77" s="88">
        <v>119.6</v>
      </c>
      <c r="X77" s="88">
        <v>117.7</v>
      </c>
      <c r="Y77" s="88">
        <v>110.9</v>
      </c>
      <c r="Z77" s="88">
        <v>114.8</v>
      </c>
      <c r="AA77" s="88">
        <v>118.7</v>
      </c>
      <c r="AB77" s="88">
        <v>110.8</v>
      </c>
      <c r="AC77" s="88">
        <v>115</v>
      </c>
      <c r="AD77" s="88">
        <v>120.6</v>
      </c>
      <c r="AE77" s="88">
        <f t="shared" si="10"/>
        <v>1570.5999999999997</v>
      </c>
      <c r="AF77" s="88">
        <f t="shared" si="11"/>
        <v>124.2</v>
      </c>
      <c r="AG77" s="88">
        <f t="shared" si="12"/>
        <v>373.1</v>
      </c>
      <c r="AH77" s="88">
        <f t="shared" si="13"/>
        <v>239.6</v>
      </c>
      <c r="AI77" s="88">
        <f t="shared" si="14"/>
        <v>347.2</v>
      </c>
      <c r="AJ77" s="88">
        <f t="shared" si="15"/>
        <v>110.9</v>
      </c>
      <c r="AK77" s="88">
        <f t="shared" si="16"/>
        <v>114.8</v>
      </c>
      <c r="AL77" s="88">
        <f t="shared" si="17"/>
        <v>115</v>
      </c>
      <c r="AM77" s="89"/>
    </row>
    <row r="78" spans="1:39" x14ac:dyDescent="0.3">
      <c r="A78" s="84" t="s">
        <v>33</v>
      </c>
      <c r="B78" s="85">
        <v>2015</v>
      </c>
      <c r="C78" s="85" t="s">
        <v>35</v>
      </c>
      <c r="D78" s="85">
        <v>124.3</v>
      </c>
      <c r="E78" s="85">
        <v>126.5</v>
      </c>
      <c r="F78" s="85">
        <v>119.5</v>
      </c>
      <c r="G78" s="85">
        <v>125.6</v>
      </c>
      <c r="H78" s="85">
        <v>104.9</v>
      </c>
      <c r="I78" s="85">
        <v>121.6</v>
      </c>
      <c r="J78" s="85">
        <v>131.80000000000001</v>
      </c>
      <c r="K78" s="85">
        <v>125.1</v>
      </c>
      <c r="L78" s="85">
        <v>95</v>
      </c>
      <c r="M78" s="85">
        <v>127.7</v>
      </c>
      <c r="N78" s="85">
        <v>116.8</v>
      </c>
      <c r="O78" s="85">
        <v>128.6</v>
      </c>
      <c r="P78" s="85">
        <v>123.7</v>
      </c>
      <c r="Q78" s="85">
        <v>128.1</v>
      </c>
      <c r="R78" s="85">
        <v>121.3</v>
      </c>
      <c r="S78" s="85">
        <v>116.5</v>
      </c>
      <c r="T78" s="85">
        <v>120.6</v>
      </c>
      <c r="U78" s="85">
        <v>118.1</v>
      </c>
      <c r="V78" s="85">
        <v>114</v>
      </c>
      <c r="W78" s="85">
        <v>117.7</v>
      </c>
      <c r="X78" s="85">
        <v>114.1</v>
      </c>
      <c r="Y78" s="85">
        <v>106.8</v>
      </c>
      <c r="Z78" s="85">
        <v>114.9</v>
      </c>
      <c r="AA78" s="85">
        <v>120.4</v>
      </c>
      <c r="AB78" s="85">
        <v>111.7</v>
      </c>
      <c r="AC78" s="85">
        <v>113.2</v>
      </c>
      <c r="AD78" s="85">
        <v>118.7</v>
      </c>
      <c r="AE78" s="85">
        <f t="shared" si="10"/>
        <v>1571.1000000000001</v>
      </c>
      <c r="AF78" s="85">
        <f t="shared" si="11"/>
        <v>128.1</v>
      </c>
      <c r="AG78" s="85">
        <f t="shared" si="12"/>
        <v>358.4</v>
      </c>
      <c r="AH78" s="85">
        <f t="shared" si="13"/>
        <v>349.8</v>
      </c>
      <c r="AI78" s="85">
        <f t="shared" si="14"/>
        <v>346.2</v>
      </c>
      <c r="AJ78" s="85">
        <f t="shared" si="15"/>
        <v>106.8</v>
      </c>
      <c r="AK78" s="85">
        <f t="shared" si="16"/>
        <v>114.9</v>
      </c>
      <c r="AL78" s="85">
        <f t="shared" si="17"/>
        <v>113.2</v>
      </c>
      <c r="AM78" s="86"/>
    </row>
    <row r="79" spans="1:39" x14ac:dyDescent="0.3">
      <c r="A79" s="87" t="s">
        <v>34</v>
      </c>
      <c r="B79" s="88">
        <v>2015</v>
      </c>
      <c r="C79" s="88" t="s">
        <v>35</v>
      </c>
      <c r="D79" s="88">
        <v>123.7</v>
      </c>
      <c r="E79" s="88">
        <v>125.1</v>
      </c>
      <c r="F79" s="88">
        <v>121.1</v>
      </c>
      <c r="G79" s="88">
        <v>125.7</v>
      </c>
      <c r="H79" s="88">
        <v>109.1</v>
      </c>
      <c r="I79" s="88">
        <v>125.8</v>
      </c>
      <c r="J79" s="88">
        <v>129.4</v>
      </c>
      <c r="K79" s="88">
        <v>120.9</v>
      </c>
      <c r="L79" s="88">
        <v>98.3</v>
      </c>
      <c r="M79" s="88">
        <v>121.6</v>
      </c>
      <c r="N79" s="88">
        <v>118</v>
      </c>
      <c r="O79" s="88">
        <v>127.6</v>
      </c>
      <c r="P79" s="88">
        <v>123.1</v>
      </c>
      <c r="Q79" s="88">
        <v>125.2</v>
      </c>
      <c r="R79" s="88">
        <v>123.8</v>
      </c>
      <c r="S79" s="88">
        <v>120.1</v>
      </c>
      <c r="T79" s="88">
        <v>123.3</v>
      </c>
      <c r="U79" s="88">
        <v>118.1</v>
      </c>
      <c r="V79" s="88">
        <v>117.7</v>
      </c>
      <c r="W79" s="88">
        <v>118.7</v>
      </c>
      <c r="X79" s="88">
        <v>116.3</v>
      </c>
      <c r="Y79" s="88">
        <v>108.7</v>
      </c>
      <c r="Z79" s="88">
        <v>114.9</v>
      </c>
      <c r="AA79" s="88">
        <v>119.7</v>
      </c>
      <c r="AB79" s="88">
        <v>111.2</v>
      </c>
      <c r="AC79" s="88">
        <v>114.1</v>
      </c>
      <c r="AD79" s="88">
        <v>119.7</v>
      </c>
      <c r="AE79" s="88">
        <f t="shared" si="10"/>
        <v>1569.3999999999996</v>
      </c>
      <c r="AF79" s="88">
        <f t="shared" si="11"/>
        <v>125.2</v>
      </c>
      <c r="AG79" s="88">
        <f t="shared" si="12"/>
        <v>367.2</v>
      </c>
      <c r="AH79" s="88">
        <f t="shared" si="13"/>
        <v>354.5</v>
      </c>
      <c r="AI79" s="88">
        <f t="shared" si="14"/>
        <v>347.2</v>
      </c>
      <c r="AJ79" s="88">
        <f t="shared" si="15"/>
        <v>108.7</v>
      </c>
      <c r="AK79" s="88">
        <f t="shared" si="16"/>
        <v>114.9</v>
      </c>
      <c r="AL79" s="88">
        <f t="shared" si="17"/>
        <v>114.1</v>
      </c>
      <c r="AM79" s="89"/>
    </row>
    <row r="80" spans="1:39" x14ac:dyDescent="0.3">
      <c r="A80" s="84" t="s">
        <v>30</v>
      </c>
      <c r="B80" s="85">
        <v>2015</v>
      </c>
      <c r="C80" s="85" t="s">
        <v>36</v>
      </c>
      <c r="D80" s="85">
        <v>123.3</v>
      </c>
      <c r="E80" s="85">
        <v>124.7</v>
      </c>
      <c r="F80" s="85">
        <v>118.9</v>
      </c>
      <c r="G80" s="85">
        <v>126</v>
      </c>
      <c r="H80" s="85">
        <v>111.8</v>
      </c>
      <c r="I80" s="85">
        <v>130.9</v>
      </c>
      <c r="J80" s="85">
        <v>128</v>
      </c>
      <c r="K80" s="85">
        <v>119.9</v>
      </c>
      <c r="L80" s="85">
        <v>98.9</v>
      </c>
      <c r="M80" s="85">
        <v>119.4</v>
      </c>
      <c r="N80" s="85">
        <v>118.9</v>
      </c>
      <c r="O80" s="85">
        <v>127.7</v>
      </c>
      <c r="P80" s="85">
        <v>123.1</v>
      </c>
      <c r="Q80" s="85">
        <v>124.7</v>
      </c>
      <c r="R80" s="85">
        <v>126</v>
      </c>
      <c r="S80" s="85">
        <v>122.9</v>
      </c>
      <c r="T80" s="85">
        <v>125.5</v>
      </c>
      <c r="U80" s="85" t="s">
        <v>32</v>
      </c>
      <c r="V80" s="85">
        <v>120.6</v>
      </c>
      <c r="W80" s="85">
        <v>120.2</v>
      </c>
      <c r="X80" s="85">
        <v>118.2</v>
      </c>
      <c r="Y80" s="85">
        <v>111.6</v>
      </c>
      <c r="Z80" s="85">
        <v>115.5</v>
      </c>
      <c r="AA80" s="85">
        <v>119.4</v>
      </c>
      <c r="AB80" s="85">
        <v>110.8</v>
      </c>
      <c r="AC80" s="85">
        <v>115.5</v>
      </c>
      <c r="AD80" s="85">
        <v>121.1</v>
      </c>
      <c r="AE80" s="85">
        <f t="shared" si="10"/>
        <v>1571.5</v>
      </c>
      <c r="AF80" s="85">
        <f t="shared" si="11"/>
        <v>124.7</v>
      </c>
      <c r="AG80" s="85">
        <f t="shared" si="12"/>
        <v>374.4</v>
      </c>
      <c r="AH80" s="85">
        <f t="shared" si="13"/>
        <v>240.8</v>
      </c>
      <c r="AI80" s="85">
        <f t="shared" si="14"/>
        <v>348.40000000000003</v>
      </c>
      <c r="AJ80" s="85">
        <f t="shared" si="15"/>
        <v>111.6</v>
      </c>
      <c r="AK80" s="85">
        <f t="shared" si="16"/>
        <v>115.5</v>
      </c>
      <c r="AL80" s="85">
        <f t="shared" si="17"/>
        <v>115.5</v>
      </c>
      <c r="AM80" s="86"/>
    </row>
    <row r="81" spans="1:39" x14ac:dyDescent="0.3">
      <c r="A81" s="87" t="s">
        <v>33</v>
      </c>
      <c r="B81" s="88">
        <v>2015</v>
      </c>
      <c r="C81" s="88" t="s">
        <v>36</v>
      </c>
      <c r="D81" s="88">
        <v>124</v>
      </c>
      <c r="E81" s="88">
        <v>126.7</v>
      </c>
      <c r="F81" s="88">
        <v>113.5</v>
      </c>
      <c r="G81" s="88">
        <v>125.9</v>
      </c>
      <c r="H81" s="88">
        <v>104.8</v>
      </c>
      <c r="I81" s="88">
        <v>123.8</v>
      </c>
      <c r="J81" s="88">
        <v>131.4</v>
      </c>
      <c r="K81" s="88">
        <v>127.2</v>
      </c>
      <c r="L81" s="88">
        <v>93.2</v>
      </c>
      <c r="M81" s="88">
        <v>127.4</v>
      </c>
      <c r="N81" s="88">
        <v>117</v>
      </c>
      <c r="O81" s="88">
        <v>129.19999999999999</v>
      </c>
      <c r="P81" s="88">
        <v>123.9</v>
      </c>
      <c r="Q81" s="88">
        <v>128.80000000000001</v>
      </c>
      <c r="R81" s="88">
        <v>121.7</v>
      </c>
      <c r="S81" s="88">
        <v>116.9</v>
      </c>
      <c r="T81" s="88">
        <v>120.9</v>
      </c>
      <c r="U81" s="88">
        <v>118.6</v>
      </c>
      <c r="V81" s="88">
        <v>114.4</v>
      </c>
      <c r="W81" s="88">
        <v>118</v>
      </c>
      <c r="X81" s="88">
        <v>114.3</v>
      </c>
      <c r="Y81" s="88">
        <v>108.4</v>
      </c>
      <c r="Z81" s="88">
        <v>115.4</v>
      </c>
      <c r="AA81" s="88">
        <v>120.6</v>
      </c>
      <c r="AB81" s="88">
        <v>111.3</v>
      </c>
      <c r="AC81" s="88">
        <v>113.8</v>
      </c>
      <c r="AD81" s="88">
        <v>119.1</v>
      </c>
      <c r="AE81" s="88">
        <f t="shared" si="10"/>
        <v>1568.0000000000002</v>
      </c>
      <c r="AF81" s="88">
        <f t="shared" si="11"/>
        <v>128.80000000000001</v>
      </c>
      <c r="AG81" s="88">
        <f t="shared" si="12"/>
        <v>359.5</v>
      </c>
      <c r="AH81" s="88">
        <f t="shared" si="13"/>
        <v>351</v>
      </c>
      <c r="AI81" s="88">
        <f t="shared" si="14"/>
        <v>346.2</v>
      </c>
      <c r="AJ81" s="88">
        <f t="shared" si="15"/>
        <v>108.4</v>
      </c>
      <c r="AK81" s="88">
        <f t="shared" si="16"/>
        <v>115.4</v>
      </c>
      <c r="AL81" s="88">
        <f t="shared" si="17"/>
        <v>113.8</v>
      </c>
      <c r="AM81" s="89"/>
    </row>
    <row r="82" spans="1:39" x14ac:dyDescent="0.3">
      <c r="A82" s="84" t="s">
        <v>34</v>
      </c>
      <c r="B82" s="85">
        <v>2015</v>
      </c>
      <c r="C82" s="85" t="s">
        <v>36</v>
      </c>
      <c r="D82" s="85">
        <v>123.5</v>
      </c>
      <c r="E82" s="85">
        <v>125.4</v>
      </c>
      <c r="F82" s="85">
        <v>116.8</v>
      </c>
      <c r="G82" s="85">
        <v>126</v>
      </c>
      <c r="H82" s="85">
        <v>109.2</v>
      </c>
      <c r="I82" s="85">
        <v>127.6</v>
      </c>
      <c r="J82" s="85">
        <v>129.19999999999999</v>
      </c>
      <c r="K82" s="85">
        <v>122.4</v>
      </c>
      <c r="L82" s="85">
        <v>97</v>
      </c>
      <c r="M82" s="85">
        <v>122.1</v>
      </c>
      <c r="N82" s="85">
        <v>118.1</v>
      </c>
      <c r="O82" s="85">
        <v>128.4</v>
      </c>
      <c r="P82" s="85">
        <v>123.4</v>
      </c>
      <c r="Q82" s="85">
        <v>125.8</v>
      </c>
      <c r="R82" s="85">
        <v>124.3</v>
      </c>
      <c r="S82" s="85">
        <v>120.4</v>
      </c>
      <c r="T82" s="85">
        <v>123.7</v>
      </c>
      <c r="U82" s="85">
        <v>118.6</v>
      </c>
      <c r="V82" s="85">
        <v>118.3</v>
      </c>
      <c r="W82" s="85">
        <v>119.2</v>
      </c>
      <c r="X82" s="85">
        <v>116.7</v>
      </c>
      <c r="Y82" s="85">
        <v>109.9</v>
      </c>
      <c r="Z82" s="85">
        <v>115.4</v>
      </c>
      <c r="AA82" s="85">
        <v>120.1</v>
      </c>
      <c r="AB82" s="85">
        <v>111</v>
      </c>
      <c r="AC82" s="85">
        <v>114.7</v>
      </c>
      <c r="AD82" s="85">
        <v>120.2</v>
      </c>
      <c r="AE82" s="85">
        <f t="shared" si="10"/>
        <v>1569.1</v>
      </c>
      <c r="AF82" s="85">
        <f t="shared" si="11"/>
        <v>125.8</v>
      </c>
      <c r="AG82" s="85">
        <f t="shared" si="12"/>
        <v>368.4</v>
      </c>
      <c r="AH82" s="85">
        <f t="shared" si="13"/>
        <v>356.09999999999997</v>
      </c>
      <c r="AI82" s="85">
        <f t="shared" si="14"/>
        <v>347.8</v>
      </c>
      <c r="AJ82" s="85">
        <f t="shared" si="15"/>
        <v>109.9</v>
      </c>
      <c r="AK82" s="85">
        <f t="shared" si="16"/>
        <v>115.4</v>
      </c>
      <c r="AL82" s="85">
        <f t="shared" si="17"/>
        <v>114.7</v>
      </c>
      <c r="AM82" s="86"/>
    </row>
    <row r="83" spans="1:39" x14ac:dyDescent="0.3">
      <c r="A83" s="87" t="s">
        <v>30</v>
      </c>
      <c r="B83" s="88">
        <v>2015</v>
      </c>
      <c r="C83" s="88" t="s">
        <v>37</v>
      </c>
      <c r="D83" s="88">
        <v>123.3</v>
      </c>
      <c r="E83" s="88">
        <v>125.5</v>
      </c>
      <c r="F83" s="88">
        <v>117.2</v>
      </c>
      <c r="G83" s="88">
        <v>126.8</v>
      </c>
      <c r="H83" s="88">
        <v>111.9</v>
      </c>
      <c r="I83" s="88">
        <v>134.19999999999999</v>
      </c>
      <c r="J83" s="88">
        <v>127.5</v>
      </c>
      <c r="K83" s="88">
        <v>121.5</v>
      </c>
      <c r="L83" s="88">
        <v>97.8</v>
      </c>
      <c r="M83" s="88">
        <v>119.8</v>
      </c>
      <c r="N83" s="88">
        <v>119.4</v>
      </c>
      <c r="O83" s="88">
        <v>128.69999999999999</v>
      </c>
      <c r="P83" s="88">
        <v>123.6</v>
      </c>
      <c r="Q83" s="88">
        <v>125.7</v>
      </c>
      <c r="R83" s="88">
        <v>126.4</v>
      </c>
      <c r="S83" s="88">
        <v>123.3</v>
      </c>
      <c r="T83" s="88">
        <v>126</v>
      </c>
      <c r="U83" s="88" t="s">
        <v>32</v>
      </c>
      <c r="V83" s="88">
        <v>121.2</v>
      </c>
      <c r="W83" s="88">
        <v>120.9</v>
      </c>
      <c r="X83" s="88">
        <v>118.6</v>
      </c>
      <c r="Y83" s="88">
        <v>111.9</v>
      </c>
      <c r="Z83" s="88">
        <v>116.2</v>
      </c>
      <c r="AA83" s="88">
        <v>119.9</v>
      </c>
      <c r="AB83" s="88">
        <v>111.6</v>
      </c>
      <c r="AC83" s="88">
        <v>116</v>
      </c>
      <c r="AD83" s="88">
        <v>121.5</v>
      </c>
      <c r="AE83" s="88">
        <f t="shared" si="10"/>
        <v>1577.2</v>
      </c>
      <c r="AF83" s="88">
        <f t="shared" si="11"/>
        <v>125.7</v>
      </c>
      <c r="AG83" s="88">
        <f t="shared" si="12"/>
        <v>375.7</v>
      </c>
      <c r="AH83" s="88">
        <f t="shared" si="13"/>
        <v>242.10000000000002</v>
      </c>
      <c r="AI83" s="88">
        <f t="shared" si="14"/>
        <v>350.1</v>
      </c>
      <c r="AJ83" s="88">
        <f t="shared" si="15"/>
        <v>111.9</v>
      </c>
      <c r="AK83" s="88">
        <f t="shared" si="16"/>
        <v>116.2</v>
      </c>
      <c r="AL83" s="88">
        <f t="shared" si="17"/>
        <v>116</v>
      </c>
      <c r="AM83" s="89"/>
    </row>
    <row r="84" spans="1:39" x14ac:dyDescent="0.3">
      <c r="A84" s="84" t="s">
        <v>33</v>
      </c>
      <c r="B84" s="85">
        <v>2015</v>
      </c>
      <c r="C84" s="85" t="s">
        <v>37</v>
      </c>
      <c r="D84" s="85">
        <v>123.8</v>
      </c>
      <c r="E84" s="85">
        <v>128.19999999999999</v>
      </c>
      <c r="F84" s="85">
        <v>110</v>
      </c>
      <c r="G84" s="85">
        <v>126.3</v>
      </c>
      <c r="H84" s="85">
        <v>104.5</v>
      </c>
      <c r="I84" s="85">
        <v>130.6</v>
      </c>
      <c r="J84" s="85">
        <v>130.80000000000001</v>
      </c>
      <c r="K84" s="85">
        <v>131.30000000000001</v>
      </c>
      <c r="L84" s="85">
        <v>91.6</v>
      </c>
      <c r="M84" s="85">
        <v>127.7</v>
      </c>
      <c r="N84" s="85">
        <v>117.2</v>
      </c>
      <c r="O84" s="85">
        <v>129.5</v>
      </c>
      <c r="P84" s="85">
        <v>124.6</v>
      </c>
      <c r="Q84" s="85">
        <v>130.1</v>
      </c>
      <c r="R84" s="85">
        <v>122.1</v>
      </c>
      <c r="S84" s="85">
        <v>117.2</v>
      </c>
      <c r="T84" s="85">
        <v>121.3</v>
      </c>
      <c r="U84" s="85">
        <v>119.2</v>
      </c>
      <c r="V84" s="85">
        <v>114.7</v>
      </c>
      <c r="W84" s="85">
        <v>118.4</v>
      </c>
      <c r="X84" s="85">
        <v>114.6</v>
      </c>
      <c r="Y84" s="85">
        <v>108.4</v>
      </c>
      <c r="Z84" s="85">
        <v>115.6</v>
      </c>
      <c r="AA84" s="85">
        <v>121.7</v>
      </c>
      <c r="AB84" s="85">
        <v>111.8</v>
      </c>
      <c r="AC84" s="85">
        <v>114.2</v>
      </c>
      <c r="AD84" s="85">
        <v>119.7</v>
      </c>
      <c r="AE84" s="85">
        <f t="shared" si="10"/>
        <v>1576.1</v>
      </c>
      <c r="AF84" s="85">
        <f t="shared" si="11"/>
        <v>130.1</v>
      </c>
      <c r="AG84" s="85">
        <f t="shared" si="12"/>
        <v>360.6</v>
      </c>
      <c r="AH84" s="85">
        <f t="shared" si="13"/>
        <v>352.3</v>
      </c>
      <c r="AI84" s="85">
        <f t="shared" si="14"/>
        <v>348.1</v>
      </c>
      <c r="AJ84" s="85">
        <f t="shared" si="15"/>
        <v>108.4</v>
      </c>
      <c r="AK84" s="85">
        <f t="shared" si="16"/>
        <v>115.6</v>
      </c>
      <c r="AL84" s="85">
        <f t="shared" si="17"/>
        <v>114.2</v>
      </c>
      <c r="AM84" s="86"/>
    </row>
    <row r="85" spans="1:39" x14ac:dyDescent="0.3">
      <c r="A85" s="87" t="s">
        <v>34</v>
      </c>
      <c r="B85" s="88">
        <v>2015</v>
      </c>
      <c r="C85" s="88" t="s">
        <v>37</v>
      </c>
      <c r="D85" s="88">
        <v>123.5</v>
      </c>
      <c r="E85" s="88">
        <v>126.4</v>
      </c>
      <c r="F85" s="88">
        <v>114.4</v>
      </c>
      <c r="G85" s="88">
        <v>126.6</v>
      </c>
      <c r="H85" s="88">
        <v>109.2</v>
      </c>
      <c r="I85" s="88">
        <v>132.5</v>
      </c>
      <c r="J85" s="88">
        <v>128.6</v>
      </c>
      <c r="K85" s="88">
        <v>124.8</v>
      </c>
      <c r="L85" s="88">
        <v>95.7</v>
      </c>
      <c r="M85" s="88">
        <v>122.4</v>
      </c>
      <c r="N85" s="88">
        <v>118.5</v>
      </c>
      <c r="O85" s="88">
        <v>129.1</v>
      </c>
      <c r="P85" s="88">
        <v>124</v>
      </c>
      <c r="Q85" s="88">
        <v>126.9</v>
      </c>
      <c r="R85" s="88">
        <v>124.7</v>
      </c>
      <c r="S85" s="88">
        <v>120.8</v>
      </c>
      <c r="T85" s="88">
        <v>124.1</v>
      </c>
      <c r="U85" s="88">
        <v>119.2</v>
      </c>
      <c r="V85" s="88">
        <v>118.7</v>
      </c>
      <c r="W85" s="88">
        <v>119.7</v>
      </c>
      <c r="X85" s="88">
        <v>117.1</v>
      </c>
      <c r="Y85" s="88">
        <v>110.1</v>
      </c>
      <c r="Z85" s="88">
        <v>115.9</v>
      </c>
      <c r="AA85" s="88">
        <v>121</v>
      </c>
      <c r="AB85" s="88">
        <v>111.7</v>
      </c>
      <c r="AC85" s="88">
        <v>115.1</v>
      </c>
      <c r="AD85" s="88">
        <v>120.7</v>
      </c>
      <c r="AE85" s="88">
        <f t="shared" si="10"/>
        <v>1575.7</v>
      </c>
      <c r="AF85" s="88">
        <f t="shared" si="11"/>
        <v>126.9</v>
      </c>
      <c r="AG85" s="88">
        <f t="shared" si="12"/>
        <v>369.6</v>
      </c>
      <c r="AH85" s="88">
        <f t="shared" si="13"/>
        <v>357.6</v>
      </c>
      <c r="AI85" s="88">
        <f t="shared" si="14"/>
        <v>349.8</v>
      </c>
      <c r="AJ85" s="88">
        <f t="shared" si="15"/>
        <v>110.1</v>
      </c>
      <c r="AK85" s="88">
        <f t="shared" si="16"/>
        <v>115.9</v>
      </c>
      <c r="AL85" s="88">
        <f t="shared" si="17"/>
        <v>115.1</v>
      </c>
      <c r="AM85" s="89"/>
    </row>
    <row r="86" spans="1:39" x14ac:dyDescent="0.3">
      <c r="A86" s="84" t="s">
        <v>30</v>
      </c>
      <c r="B86" s="85">
        <v>2015</v>
      </c>
      <c r="C86" s="85" t="s">
        <v>38</v>
      </c>
      <c r="D86" s="85">
        <v>123.5</v>
      </c>
      <c r="E86" s="85">
        <v>127.1</v>
      </c>
      <c r="F86" s="85">
        <v>117.3</v>
      </c>
      <c r="G86" s="85">
        <v>127.7</v>
      </c>
      <c r="H86" s="85">
        <v>112.5</v>
      </c>
      <c r="I86" s="85">
        <v>134.1</v>
      </c>
      <c r="J86" s="85">
        <v>128.5</v>
      </c>
      <c r="K86" s="85">
        <v>124.3</v>
      </c>
      <c r="L86" s="85">
        <v>97.6</v>
      </c>
      <c r="M86" s="85">
        <v>120.7</v>
      </c>
      <c r="N86" s="85">
        <v>120.2</v>
      </c>
      <c r="O86" s="85">
        <v>129.80000000000001</v>
      </c>
      <c r="P86" s="85">
        <v>124.4</v>
      </c>
      <c r="Q86" s="85">
        <v>126.7</v>
      </c>
      <c r="R86" s="85">
        <v>127.3</v>
      </c>
      <c r="S86" s="85">
        <v>124.1</v>
      </c>
      <c r="T86" s="85">
        <v>126.8</v>
      </c>
      <c r="U86" s="85" t="s">
        <v>32</v>
      </c>
      <c r="V86" s="85">
        <v>121.9</v>
      </c>
      <c r="W86" s="85">
        <v>121.5</v>
      </c>
      <c r="X86" s="85">
        <v>119.4</v>
      </c>
      <c r="Y86" s="85">
        <v>113.3</v>
      </c>
      <c r="Z86" s="85">
        <v>116.7</v>
      </c>
      <c r="AA86" s="85">
        <v>120.5</v>
      </c>
      <c r="AB86" s="85">
        <v>112.3</v>
      </c>
      <c r="AC86" s="85">
        <v>116.9</v>
      </c>
      <c r="AD86" s="85">
        <v>122.4</v>
      </c>
      <c r="AE86" s="85">
        <f t="shared" si="10"/>
        <v>1587.7</v>
      </c>
      <c r="AF86" s="85">
        <f t="shared" si="11"/>
        <v>126.7</v>
      </c>
      <c r="AG86" s="85">
        <f t="shared" si="12"/>
        <v>378.2</v>
      </c>
      <c r="AH86" s="85">
        <f t="shared" si="13"/>
        <v>243.4</v>
      </c>
      <c r="AI86" s="85">
        <f t="shared" si="14"/>
        <v>352.2</v>
      </c>
      <c r="AJ86" s="85">
        <f t="shared" si="15"/>
        <v>113.3</v>
      </c>
      <c r="AK86" s="85">
        <f t="shared" si="16"/>
        <v>116.7</v>
      </c>
      <c r="AL86" s="85">
        <f t="shared" si="17"/>
        <v>116.9</v>
      </c>
      <c r="AM86" s="86"/>
    </row>
    <row r="87" spans="1:39" x14ac:dyDescent="0.3">
      <c r="A87" s="87" t="s">
        <v>33</v>
      </c>
      <c r="B87" s="88">
        <v>2015</v>
      </c>
      <c r="C87" s="88" t="s">
        <v>38</v>
      </c>
      <c r="D87" s="88">
        <v>123.8</v>
      </c>
      <c r="E87" s="88">
        <v>129.69999999999999</v>
      </c>
      <c r="F87" s="88">
        <v>111.3</v>
      </c>
      <c r="G87" s="88">
        <v>126.6</v>
      </c>
      <c r="H87" s="88">
        <v>105.2</v>
      </c>
      <c r="I87" s="88">
        <v>130.80000000000001</v>
      </c>
      <c r="J87" s="88">
        <v>135.6</v>
      </c>
      <c r="K87" s="88">
        <v>142.6</v>
      </c>
      <c r="L87" s="88">
        <v>90.8</v>
      </c>
      <c r="M87" s="88">
        <v>128.80000000000001</v>
      </c>
      <c r="N87" s="88">
        <v>117.7</v>
      </c>
      <c r="O87" s="88">
        <v>129.9</v>
      </c>
      <c r="P87" s="88">
        <v>126.1</v>
      </c>
      <c r="Q87" s="88">
        <v>131.30000000000001</v>
      </c>
      <c r="R87" s="88">
        <v>122.4</v>
      </c>
      <c r="S87" s="88">
        <v>117.4</v>
      </c>
      <c r="T87" s="88">
        <v>121.6</v>
      </c>
      <c r="U87" s="88">
        <v>119.6</v>
      </c>
      <c r="V87" s="88">
        <v>114.9</v>
      </c>
      <c r="W87" s="88">
        <v>118.7</v>
      </c>
      <c r="X87" s="88">
        <v>114.9</v>
      </c>
      <c r="Y87" s="88">
        <v>110.8</v>
      </c>
      <c r="Z87" s="88">
        <v>116</v>
      </c>
      <c r="AA87" s="88">
        <v>122</v>
      </c>
      <c r="AB87" s="88">
        <v>112.4</v>
      </c>
      <c r="AC87" s="88">
        <v>115.2</v>
      </c>
      <c r="AD87" s="88">
        <v>120.7</v>
      </c>
      <c r="AE87" s="88">
        <f t="shared" si="10"/>
        <v>1598.9</v>
      </c>
      <c r="AF87" s="88">
        <f t="shared" si="11"/>
        <v>131.30000000000001</v>
      </c>
      <c r="AG87" s="88">
        <f t="shared" si="12"/>
        <v>361.4</v>
      </c>
      <c r="AH87" s="88">
        <f t="shared" si="13"/>
        <v>353.2</v>
      </c>
      <c r="AI87" s="88">
        <f t="shared" si="14"/>
        <v>349.3</v>
      </c>
      <c r="AJ87" s="88">
        <f t="shared" si="15"/>
        <v>110.8</v>
      </c>
      <c r="AK87" s="88">
        <f t="shared" si="16"/>
        <v>116</v>
      </c>
      <c r="AL87" s="88">
        <f t="shared" si="17"/>
        <v>115.2</v>
      </c>
      <c r="AM87" s="89"/>
    </row>
    <row r="88" spans="1:39" x14ac:dyDescent="0.3">
      <c r="A88" s="84" t="s">
        <v>34</v>
      </c>
      <c r="B88" s="85">
        <v>2015</v>
      </c>
      <c r="C88" s="85" t="s">
        <v>38</v>
      </c>
      <c r="D88" s="85">
        <v>123.6</v>
      </c>
      <c r="E88" s="85">
        <v>128</v>
      </c>
      <c r="F88" s="85">
        <v>115</v>
      </c>
      <c r="G88" s="85">
        <v>127.3</v>
      </c>
      <c r="H88" s="85">
        <v>109.8</v>
      </c>
      <c r="I88" s="85">
        <v>132.6</v>
      </c>
      <c r="J88" s="85">
        <v>130.9</v>
      </c>
      <c r="K88" s="85">
        <v>130.5</v>
      </c>
      <c r="L88" s="85">
        <v>95.3</v>
      </c>
      <c r="M88" s="85">
        <v>123.4</v>
      </c>
      <c r="N88" s="85">
        <v>119.2</v>
      </c>
      <c r="O88" s="85">
        <v>129.80000000000001</v>
      </c>
      <c r="P88" s="85">
        <v>125</v>
      </c>
      <c r="Q88" s="85">
        <v>127.9</v>
      </c>
      <c r="R88" s="85">
        <v>125.4</v>
      </c>
      <c r="S88" s="85">
        <v>121.3</v>
      </c>
      <c r="T88" s="85">
        <v>124.7</v>
      </c>
      <c r="U88" s="85">
        <v>119.6</v>
      </c>
      <c r="V88" s="85">
        <v>119.2</v>
      </c>
      <c r="W88" s="85">
        <v>120.2</v>
      </c>
      <c r="X88" s="85">
        <v>117.7</v>
      </c>
      <c r="Y88" s="85">
        <v>112</v>
      </c>
      <c r="Z88" s="85">
        <v>116.3</v>
      </c>
      <c r="AA88" s="85">
        <v>121.4</v>
      </c>
      <c r="AB88" s="85">
        <v>112.3</v>
      </c>
      <c r="AC88" s="85">
        <v>116.1</v>
      </c>
      <c r="AD88" s="85">
        <v>121.6</v>
      </c>
      <c r="AE88" s="85">
        <f t="shared" si="10"/>
        <v>1590.4</v>
      </c>
      <c r="AF88" s="85">
        <f t="shared" si="11"/>
        <v>127.9</v>
      </c>
      <c r="AG88" s="85">
        <f t="shared" si="12"/>
        <v>371.4</v>
      </c>
      <c r="AH88" s="85">
        <f t="shared" si="13"/>
        <v>359</v>
      </c>
      <c r="AI88" s="85">
        <f t="shared" si="14"/>
        <v>351.40000000000003</v>
      </c>
      <c r="AJ88" s="85">
        <f t="shared" si="15"/>
        <v>112</v>
      </c>
      <c r="AK88" s="85">
        <f t="shared" si="16"/>
        <v>116.3</v>
      </c>
      <c r="AL88" s="85">
        <f t="shared" si="17"/>
        <v>116.1</v>
      </c>
      <c r="AM88" s="86"/>
    </row>
    <row r="89" spans="1:39" x14ac:dyDescent="0.3">
      <c r="A89" s="87" t="s">
        <v>30</v>
      </c>
      <c r="B89" s="88">
        <v>2015</v>
      </c>
      <c r="C89" s="88" t="s">
        <v>39</v>
      </c>
      <c r="D89" s="88">
        <v>124.1</v>
      </c>
      <c r="E89" s="88">
        <v>130.4</v>
      </c>
      <c r="F89" s="88">
        <v>122.1</v>
      </c>
      <c r="G89" s="88">
        <v>128.69999999999999</v>
      </c>
      <c r="H89" s="88">
        <v>114.1</v>
      </c>
      <c r="I89" s="88">
        <v>133.19999999999999</v>
      </c>
      <c r="J89" s="88">
        <v>135.19999999999999</v>
      </c>
      <c r="K89" s="88">
        <v>131.9</v>
      </c>
      <c r="L89" s="88">
        <v>96.3</v>
      </c>
      <c r="M89" s="88">
        <v>123</v>
      </c>
      <c r="N89" s="88">
        <v>121.1</v>
      </c>
      <c r="O89" s="88">
        <v>131.19999999999999</v>
      </c>
      <c r="P89" s="88">
        <v>126.6</v>
      </c>
      <c r="Q89" s="88">
        <v>128.19999999999999</v>
      </c>
      <c r="R89" s="88">
        <v>128.4</v>
      </c>
      <c r="S89" s="88">
        <v>125.1</v>
      </c>
      <c r="T89" s="88">
        <v>128</v>
      </c>
      <c r="U89" s="88" t="s">
        <v>32</v>
      </c>
      <c r="V89" s="88">
        <v>122.6</v>
      </c>
      <c r="W89" s="88">
        <v>122.8</v>
      </c>
      <c r="X89" s="88">
        <v>120.4</v>
      </c>
      <c r="Y89" s="88">
        <v>114.2</v>
      </c>
      <c r="Z89" s="88">
        <v>117.9</v>
      </c>
      <c r="AA89" s="88">
        <v>122</v>
      </c>
      <c r="AB89" s="88">
        <v>113</v>
      </c>
      <c r="AC89" s="88">
        <v>117.9</v>
      </c>
      <c r="AD89" s="88">
        <v>124.1</v>
      </c>
      <c r="AE89" s="88">
        <f t="shared" si="10"/>
        <v>1617.8999999999999</v>
      </c>
      <c r="AF89" s="88">
        <f t="shared" si="11"/>
        <v>128.19999999999999</v>
      </c>
      <c r="AG89" s="88">
        <f t="shared" si="12"/>
        <v>381.5</v>
      </c>
      <c r="AH89" s="88">
        <f t="shared" si="13"/>
        <v>245.39999999999998</v>
      </c>
      <c r="AI89" s="88">
        <f t="shared" si="14"/>
        <v>355.4</v>
      </c>
      <c r="AJ89" s="88">
        <f t="shared" si="15"/>
        <v>114.2</v>
      </c>
      <c r="AK89" s="88">
        <f t="shared" si="16"/>
        <v>117.9</v>
      </c>
      <c r="AL89" s="88">
        <f t="shared" si="17"/>
        <v>117.9</v>
      </c>
      <c r="AM89" s="89"/>
    </row>
    <row r="90" spans="1:39" x14ac:dyDescent="0.3">
      <c r="A90" s="84" t="s">
        <v>33</v>
      </c>
      <c r="B90" s="85">
        <v>2015</v>
      </c>
      <c r="C90" s="85" t="s">
        <v>39</v>
      </c>
      <c r="D90" s="85">
        <v>123.6</v>
      </c>
      <c r="E90" s="85">
        <v>134.4</v>
      </c>
      <c r="F90" s="85">
        <v>120.9</v>
      </c>
      <c r="G90" s="85">
        <v>127.3</v>
      </c>
      <c r="H90" s="85">
        <v>106</v>
      </c>
      <c r="I90" s="85">
        <v>132.30000000000001</v>
      </c>
      <c r="J90" s="85">
        <v>146.69999999999999</v>
      </c>
      <c r="K90" s="85">
        <v>148.1</v>
      </c>
      <c r="L90" s="85">
        <v>89.8</v>
      </c>
      <c r="M90" s="85">
        <v>130.5</v>
      </c>
      <c r="N90" s="85">
        <v>118</v>
      </c>
      <c r="O90" s="85">
        <v>130.5</v>
      </c>
      <c r="P90" s="85">
        <v>128.5</v>
      </c>
      <c r="Q90" s="85">
        <v>132.1</v>
      </c>
      <c r="R90" s="85">
        <v>123.2</v>
      </c>
      <c r="S90" s="85">
        <v>117.6</v>
      </c>
      <c r="T90" s="85">
        <v>122.3</v>
      </c>
      <c r="U90" s="85">
        <v>119</v>
      </c>
      <c r="V90" s="85">
        <v>115.1</v>
      </c>
      <c r="W90" s="85">
        <v>119.2</v>
      </c>
      <c r="X90" s="85">
        <v>115.4</v>
      </c>
      <c r="Y90" s="85">
        <v>111.7</v>
      </c>
      <c r="Z90" s="85">
        <v>116.2</v>
      </c>
      <c r="AA90" s="85">
        <v>123.8</v>
      </c>
      <c r="AB90" s="85">
        <v>112.5</v>
      </c>
      <c r="AC90" s="85">
        <v>116</v>
      </c>
      <c r="AD90" s="85">
        <v>121.7</v>
      </c>
      <c r="AE90" s="85">
        <f t="shared" si="10"/>
        <v>1636.6</v>
      </c>
      <c r="AF90" s="85">
        <f t="shared" si="11"/>
        <v>132.1</v>
      </c>
      <c r="AG90" s="85">
        <f t="shared" si="12"/>
        <v>363.1</v>
      </c>
      <c r="AH90" s="85">
        <f t="shared" si="13"/>
        <v>353.3</v>
      </c>
      <c r="AI90" s="85">
        <f t="shared" si="14"/>
        <v>351.7</v>
      </c>
      <c r="AJ90" s="85">
        <f t="shared" si="15"/>
        <v>111.7</v>
      </c>
      <c r="AK90" s="85">
        <f t="shared" si="16"/>
        <v>116.2</v>
      </c>
      <c r="AL90" s="85">
        <f t="shared" si="17"/>
        <v>116</v>
      </c>
      <c r="AM90" s="86"/>
    </row>
    <row r="91" spans="1:39" x14ac:dyDescent="0.3">
      <c r="A91" s="87" t="s">
        <v>34</v>
      </c>
      <c r="B91" s="88">
        <v>2015</v>
      </c>
      <c r="C91" s="88" t="s">
        <v>39</v>
      </c>
      <c r="D91" s="88">
        <v>123.9</v>
      </c>
      <c r="E91" s="88">
        <v>131.80000000000001</v>
      </c>
      <c r="F91" s="88">
        <v>121.6</v>
      </c>
      <c r="G91" s="88">
        <v>128.19999999999999</v>
      </c>
      <c r="H91" s="88">
        <v>111.1</v>
      </c>
      <c r="I91" s="88">
        <v>132.80000000000001</v>
      </c>
      <c r="J91" s="88">
        <v>139.1</v>
      </c>
      <c r="K91" s="88">
        <v>137.4</v>
      </c>
      <c r="L91" s="88">
        <v>94.1</v>
      </c>
      <c r="M91" s="88">
        <v>125.5</v>
      </c>
      <c r="N91" s="88">
        <v>119.8</v>
      </c>
      <c r="O91" s="88">
        <v>130.9</v>
      </c>
      <c r="P91" s="88">
        <v>127.3</v>
      </c>
      <c r="Q91" s="88">
        <v>129.19999999999999</v>
      </c>
      <c r="R91" s="88">
        <v>126.4</v>
      </c>
      <c r="S91" s="88">
        <v>122</v>
      </c>
      <c r="T91" s="88">
        <v>125.7</v>
      </c>
      <c r="U91" s="88">
        <v>119</v>
      </c>
      <c r="V91" s="88">
        <v>119.8</v>
      </c>
      <c r="W91" s="88">
        <v>121.1</v>
      </c>
      <c r="X91" s="88">
        <v>118.5</v>
      </c>
      <c r="Y91" s="88">
        <v>112.9</v>
      </c>
      <c r="Z91" s="88">
        <v>116.9</v>
      </c>
      <c r="AA91" s="88">
        <v>123.1</v>
      </c>
      <c r="AB91" s="88">
        <v>112.8</v>
      </c>
      <c r="AC91" s="88">
        <v>117</v>
      </c>
      <c r="AD91" s="88">
        <v>123</v>
      </c>
      <c r="AE91" s="88">
        <f t="shared" si="10"/>
        <v>1623.5</v>
      </c>
      <c r="AF91" s="88">
        <f t="shared" si="11"/>
        <v>129.19999999999999</v>
      </c>
      <c r="AG91" s="88">
        <f t="shared" si="12"/>
        <v>374.1</v>
      </c>
      <c r="AH91" s="88">
        <f t="shared" si="13"/>
        <v>359.9</v>
      </c>
      <c r="AI91" s="88">
        <f t="shared" si="14"/>
        <v>354.4</v>
      </c>
      <c r="AJ91" s="88">
        <f t="shared" si="15"/>
        <v>112.9</v>
      </c>
      <c r="AK91" s="88">
        <f t="shared" si="16"/>
        <v>116.9</v>
      </c>
      <c r="AL91" s="88">
        <f t="shared" si="17"/>
        <v>117</v>
      </c>
      <c r="AM91" s="89"/>
    </row>
    <row r="92" spans="1:39" x14ac:dyDescent="0.3">
      <c r="A92" s="84" t="s">
        <v>30</v>
      </c>
      <c r="B92" s="85">
        <v>2015</v>
      </c>
      <c r="C92" s="85" t="s">
        <v>40</v>
      </c>
      <c r="D92" s="85">
        <v>124</v>
      </c>
      <c r="E92" s="85">
        <v>131.5</v>
      </c>
      <c r="F92" s="85">
        <v>122</v>
      </c>
      <c r="G92" s="85">
        <v>128.69999999999999</v>
      </c>
      <c r="H92" s="85">
        <v>113.5</v>
      </c>
      <c r="I92" s="85">
        <v>133.30000000000001</v>
      </c>
      <c r="J92" s="85">
        <v>140.80000000000001</v>
      </c>
      <c r="K92" s="85">
        <v>133.80000000000001</v>
      </c>
      <c r="L92" s="85">
        <v>94.1</v>
      </c>
      <c r="M92" s="85">
        <v>123.4</v>
      </c>
      <c r="N92" s="85">
        <v>121</v>
      </c>
      <c r="O92" s="85">
        <v>131.69999999999999</v>
      </c>
      <c r="P92" s="85">
        <v>127.5</v>
      </c>
      <c r="Q92" s="85">
        <v>129.4</v>
      </c>
      <c r="R92" s="85">
        <v>128.80000000000001</v>
      </c>
      <c r="S92" s="85">
        <v>125.5</v>
      </c>
      <c r="T92" s="85">
        <v>128.30000000000001</v>
      </c>
      <c r="U92" s="85" t="s">
        <v>32</v>
      </c>
      <c r="V92" s="85">
        <v>123</v>
      </c>
      <c r="W92" s="85">
        <v>123</v>
      </c>
      <c r="X92" s="85">
        <v>120.8</v>
      </c>
      <c r="Y92" s="85">
        <v>114.1</v>
      </c>
      <c r="Z92" s="85">
        <v>118</v>
      </c>
      <c r="AA92" s="85">
        <v>122.9</v>
      </c>
      <c r="AB92" s="85">
        <v>112.7</v>
      </c>
      <c r="AC92" s="85">
        <v>118.1</v>
      </c>
      <c r="AD92" s="85">
        <v>124.7</v>
      </c>
      <c r="AE92" s="85">
        <f t="shared" si="10"/>
        <v>1625.3</v>
      </c>
      <c r="AF92" s="85">
        <f t="shared" si="11"/>
        <v>129.4</v>
      </c>
      <c r="AG92" s="85">
        <f t="shared" si="12"/>
        <v>382.6</v>
      </c>
      <c r="AH92" s="85">
        <f t="shared" si="13"/>
        <v>246</v>
      </c>
      <c r="AI92" s="85">
        <f t="shared" si="14"/>
        <v>356.4</v>
      </c>
      <c r="AJ92" s="85">
        <f t="shared" si="15"/>
        <v>114.1</v>
      </c>
      <c r="AK92" s="85">
        <f t="shared" si="16"/>
        <v>118</v>
      </c>
      <c r="AL92" s="85">
        <f t="shared" si="17"/>
        <v>118.1</v>
      </c>
      <c r="AM92" s="86"/>
    </row>
    <row r="93" spans="1:39" x14ac:dyDescent="0.3">
      <c r="A93" s="87" t="s">
        <v>33</v>
      </c>
      <c r="B93" s="88">
        <v>2015</v>
      </c>
      <c r="C93" s="88" t="s">
        <v>40</v>
      </c>
      <c r="D93" s="88">
        <v>123.2</v>
      </c>
      <c r="E93" s="88">
        <v>134.30000000000001</v>
      </c>
      <c r="F93" s="88">
        <v>119.5</v>
      </c>
      <c r="G93" s="88">
        <v>127.7</v>
      </c>
      <c r="H93" s="88">
        <v>106.3</v>
      </c>
      <c r="I93" s="88">
        <v>132.80000000000001</v>
      </c>
      <c r="J93" s="88">
        <v>153.5</v>
      </c>
      <c r="K93" s="88">
        <v>149.5</v>
      </c>
      <c r="L93" s="88">
        <v>85.7</v>
      </c>
      <c r="M93" s="88">
        <v>131.5</v>
      </c>
      <c r="N93" s="88">
        <v>118.3</v>
      </c>
      <c r="O93" s="88">
        <v>131.1</v>
      </c>
      <c r="P93" s="88">
        <v>129.5</v>
      </c>
      <c r="Q93" s="88">
        <v>133.1</v>
      </c>
      <c r="R93" s="88">
        <v>123.5</v>
      </c>
      <c r="S93" s="88">
        <v>117.9</v>
      </c>
      <c r="T93" s="88">
        <v>122.7</v>
      </c>
      <c r="U93" s="88">
        <v>119.9</v>
      </c>
      <c r="V93" s="88">
        <v>115.3</v>
      </c>
      <c r="W93" s="88">
        <v>119.5</v>
      </c>
      <c r="X93" s="88">
        <v>116</v>
      </c>
      <c r="Y93" s="88">
        <v>111.5</v>
      </c>
      <c r="Z93" s="88">
        <v>116.6</v>
      </c>
      <c r="AA93" s="88">
        <v>125.4</v>
      </c>
      <c r="AB93" s="88">
        <v>111.7</v>
      </c>
      <c r="AC93" s="88">
        <v>116.3</v>
      </c>
      <c r="AD93" s="88">
        <v>122.4</v>
      </c>
      <c r="AE93" s="88">
        <f t="shared" si="10"/>
        <v>1642.8999999999999</v>
      </c>
      <c r="AF93" s="88">
        <f t="shared" si="11"/>
        <v>133.1</v>
      </c>
      <c r="AG93" s="88">
        <f t="shared" si="12"/>
        <v>364.1</v>
      </c>
      <c r="AH93" s="88">
        <f t="shared" si="13"/>
        <v>354.7</v>
      </c>
      <c r="AI93" s="88">
        <f t="shared" si="14"/>
        <v>353.1</v>
      </c>
      <c r="AJ93" s="88">
        <f t="shared" si="15"/>
        <v>111.5</v>
      </c>
      <c r="AK93" s="88">
        <f t="shared" si="16"/>
        <v>116.6</v>
      </c>
      <c r="AL93" s="88">
        <f t="shared" si="17"/>
        <v>116.3</v>
      </c>
      <c r="AM93" s="89"/>
    </row>
    <row r="94" spans="1:39" x14ac:dyDescent="0.3">
      <c r="A94" s="84" t="s">
        <v>34</v>
      </c>
      <c r="B94" s="85">
        <v>2015</v>
      </c>
      <c r="C94" s="85" t="s">
        <v>40</v>
      </c>
      <c r="D94" s="85">
        <v>123.7</v>
      </c>
      <c r="E94" s="85">
        <v>132.5</v>
      </c>
      <c r="F94" s="85">
        <v>121</v>
      </c>
      <c r="G94" s="85">
        <v>128.30000000000001</v>
      </c>
      <c r="H94" s="85">
        <v>110.9</v>
      </c>
      <c r="I94" s="85">
        <v>133.1</v>
      </c>
      <c r="J94" s="85">
        <v>145.1</v>
      </c>
      <c r="K94" s="85">
        <v>139.1</v>
      </c>
      <c r="L94" s="85">
        <v>91.3</v>
      </c>
      <c r="M94" s="85">
        <v>126.1</v>
      </c>
      <c r="N94" s="85">
        <v>119.9</v>
      </c>
      <c r="O94" s="85">
        <v>131.4</v>
      </c>
      <c r="P94" s="85">
        <v>128.19999999999999</v>
      </c>
      <c r="Q94" s="85">
        <v>130.4</v>
      </c>
      <c r="R94" s="85">
        <v>126.7</v>
      </c>
      <c r="S94" s="85">
        <v>122.3</v>
      </c>
      <c r="T94" s="85">
        <v>126.1</v>
      </c>
      <c r="U94" s="85">
        <v>119.9</v>
      </c>
      <c r="V94" s="85">
        <v>120.1</v>
      </c>
      <c r="W94" s="85">
        <v>121.3</v>
      </c>
      <c r="X94" s="85">
        <v>119</v>
      </c>
      <c r="Y94" s="85">
        <v>112.7</v>
      </c>
      <c r="Z94" s="85">
        <v>117.2</v>
      </c>
      <c r="AA94" s="85">
        <v>124.4</v>
      </c>
      <c r="AB94" s="85">
        <v>112.3</v>
      </c>
      <c r="AC94" s="85">
        <v>117.2</v>
      </c>
      <c r="AD94" s="85">
        <v>123.6</v>
      </c>
      <c r="AE94" s="85">
        <f t="shared" si="10"/>
        <v>1630.6000000000001</v>
      </c>
      <c r="AF94" s="85">
        <f t="shared" si="11"/>
        <v>130.4</v>
      </c>
      <c r="AG94" s="85">
        <f t="shared" si="12"/>
        <v>375.1</v>
      </c>
      <c r="AH94" s="85">
        <f t="shared" si="13"/>
        <v>361.3</v>
      </c>
      <c r="AI94" s="85">
        <f t="shared" si="14"/>
        <v>355.7</v>
      </c>
      <c r="AJ94" s="85">
        <f t="shared" si="15"/>
        <v>112.7</v>
      </c>
      <c r="AK94" s="85">
        <f t="shared" si="16"/>
        <v>117.2</v>
      </c>
      <c r="AL94" s="85">
        <f t="shared" si="17"/>
        <v>117.2</v>
      </c>
      <c r="AM94" s="86"/>
    </row>
    <row r="95" spans="1:39" x14ac:dyDescent="0.3">
      <c r="A95" s="87" t="s">
        <v>30</v>
      </c>
      <c r="B95" s="88">
        <v>2015</v>
      </c>
      <c r="C95" s="88" t="s">
        <v>41</v>
      </c>
      <c r="D95" s="88">
        <v>124.7</v>
      </c>
      <c r="E95" s="88">
        <v>131.30000000000001</v>
      </c>
      <c r="F95" s="88">
        <v>121.3</v>
      </c>
      <c r="G95" s="88">
        <v>128.80000000000001</v>
      </c>
      <c r="H95" s="88">
        <v>114</v>
      </c>
      <c r="I95" s="88">
        <v>134.19999999999999</v>
      </c>
      <c r="J95" s="88">
        <v>153.6</v>
      </c>
      <c r="K95" s="88">
        <v>137.9</v>
      </c>
      <c r="L95" s="88">
        <v>93.1</v>
      </c>
      <c r="M95" s="88">
        <v>123.9</v>
      </c>
      <c r="N95" s="88">
        <v>121.5</v>
      </c>
      <c r="O95" s="88">
        <v>132.5</v>
      </c>
      <c r="P95" s="88">
        <v>129.80000000000001</v>
      </c>
      <c r="Q95" s="88">
        <v>130.1</v>
      </c>
      <c r="R95" s="88">
        <v>129.5</v>
      </c>
      <c r="S95" s="88">
        <v>126.3</v>
      </c>
      <c r="T95" s="88">
        <v>129</v>
      </c>
      <c r="U95" s="88" t="s">
        <v>32</v>
      </c>
      <c r="V95" s="88">
        <v>123.8</v>
      </c>
      <c r="W95" s="88">
        <v>123.7</v>
      </c>
      <c r="X95" s="88">
        <v>121.1</v>
      </c>
      <c r="Y95" s="88">
        <v>113.6</v>
      </c>
      <c r="Z95" s="88">
        <v>118.5</v>
      </c>
      <c r="AA95" s="88">
        <v>123.6</v>
      </c>
      <c r="AB95" s="88">
        <v>112.5</v>
      </c>
      <c r="AC95" s="88">
        <v>118.2</v>
      </c>
      <c r="AD95" s="88">
        <v>126.1</v>
      </c>
      <c r="AE95" s="88">
        <f t="shared" si="10"/>
        <v>1646.6</v>
      </c>
      <c r="AF95" s="88">
        <f t="shared" si="11"/>
        <v>130.1</v>
      </c>
      <c r="AG95" s="88">
        <f t="shared" si="12"/>
        <v>384.8</v>
      </c>
      <c r="AH95" s="88">
        <f t="shared" si="13"/>
        <v>247.5</v>
      </c>
      <c r="AI95" s="88">
        <f t="shared" si="14"/>
        <v>357.2</v>
      </c>
      <c r="AJ95" s="88">
        <f t="shared" si="15"/>
        <v>113.6</v>
      </c>
      <c r="AK95" s="88">
        <f t="shared" si="16"/>
        <v>118.5</v>
      </c>
      <c r="AL95" s="88">
        <f t="shared" si="17"/>
        <v>118.2</v>
      </c>
      <c r="AM95" s="89"/>
    </row>
    <row r="96" spans="1:39" x14ac:dyDescent="0.3">
      <c r="A96" s="84" t="s">
        <v>33</v>
      </c>
      <c r="B96" s="85">
        <v>2015</v>
      </c>
      <c r="C96" s="85" t="s">
        <v>41</v>
      </c>
      <c r="D96" s="85">
        <v>123.1</v>
      </c>
      <c r="E96" s="85">
        <v>131.69999999999999</v>
      </c>
      <c r="F96" s="85">
        <v>118.1</v>
      </c>
      <c r="G96" s="85">
        <v>128</v>
      </c>
      <c r="H96" s="85">
        <v>106.8</v>
      </c>
      <c r="I96" s="85">
        <v>130.1</v>
      </c>
      <c r="J96" s="85">
        <v>165.5</v>
      </c>
      <c r="K96" s="85">
        <v>156</v>
      </c>
      <c r="L96" s="85">
        <v>85.3</v>
      </c>
      <c r="M96" s="85">
        <v>132.69999999999999</v>
      </c>
      <c r="N96" s="85">
        <v>118.8</v>
      </c>
      <c r="O96" s="85">
        <v>131.69999999999999</v>
      </c>
      <c r="P96" s="85">
        <v>131.1</v>
      </c>
      <c r="Q96" s="85">
        <v>134.19999999999999</v>
      </c>
      <c r="R96" s="85">
        <v>123.7</v>
      </c>
      <c r="S96" s="85">
        <v>118.2</v>
      </c>
      <c r="T96" s="85">
        <v>122.9</v>
      </c>
      <c r="U96" s="85">
        <v>120.9</v>
      </c>
      <c r="V96" s="85">
        <v>115.3</v>
      </c>
      <c r="W96" s="85">
        <v>120</v>
      </c>
      <c r="X96" s="85">
        <v>116.6</v>
      </c>
      <c r="Y96" s="85">
        <v>109.9</v>
      </c>
      <c r="Z96" s="85">
        <v>117.2</v>
      </c>
      <c r="AA96" s="85">
        <v>126.2</v>
      </c>
      <c r="AB96" s="85">
        <v>112</v>
      </c>
      <c r="AC96" s="85">
        <v>116.2</v>
      </c>
      <c r="AD96" s="85">
        <v>123.2</v>
      </c>
      <c r="AE96" s="85">
        <f t="shared" si="10"/>
        <v>1658.8999999999999</v>
      </c>
      <c r="AF96" s="85">
        <f t="shared" si="11"/>
        <v>134.19999999999999</v>
      </c>
      <c r="AG96" s="85">
        <f t="shared" si="12"/>
        <v>364.8</v>
      </c>
      <c r="AH96" s="85">
        <f t="shared" si="13"/>
        <v>356.2</v>
      </c>
      <c r="AI96" s="85">
        <f t="shared" si="14"/>
        <v>354.8</v>
      </c>
      <c r="AJ96" s="85">
        <f t="shared" si="15"/>
        <v>109.9</v>
      </c>
      <c r="AK96" s="85">
        <f t="shared" si="16"/>
        <v>117.2</v>
      </c>
      <c r="AL96" s="85">
        <f t="shared" si="17"/>
        <v>116.2</v>
      </c>
      <c r="AM96" s="86"/>
    </row>
    <row r="97" spans="1:39" x14ac:dyDescent="0.3">
      <c r="A97" s="87" t="s">
        <v>34</v>
      </c>
      <c r="B97" s="88">
        <v>2015</v>
      </c>
      <c r="C97" s="88" t="s">
        <v>41</v>
      </c>
      <c r="D97" s="88">
        <v>124.2</v>
      </c>
      <c r="E97" s="88">
        <v>131.4</v>
      </c>
      <c r="F97" s="88">
        <v>120.1</v>
      </c>
      <c r="G97" s="88">
        <v>128.5</v>
      </c>
      <c r="H97" s="88">
        <v>111.4</v>
      </c>
      <c r="I97" s="88">
        <v>132.30000000000001</v>
      </c>
      <c r="J97" s="88">
        <v>157.6</v>
      </c>
      <c r="K97" s="88">
        <v>144</v>
      </c>
      <c r="L97" s="88">
        <v>90.5</v>
      </c>
      <c r="M97" s="88">
        <v>126.8</v>
      </c>
      <c r="N97" s="88">
        <v>120.4</v>
      </c>
      <c r="O97" s="88">
        <v>132.1</v>
      </c>
      <c r="P97" s="88">
        <v>130.30000000000001</v>
      </c>
      <c r="Q97" s="88">
        <v>131.19999999999999</v>
      </c>
      <c r="R97" s="88">
        <v>127.2</v>
      </c>
      <c r="S97" s="88">
        <v>122.9</v>
      </c>
      <c r="T97" s="88">
        <v>126.6</v>
      </c>
      <c r="U97" s="88">
        <v>120.9</v>
      </c>
      <c r="V97" s="88">
        <v>120.6</v>
      </c>
      <c r="W97" s="88">
        <v>122</v>
      </c>
      <c r="X97" s="88">
        <v>119.4</v>
      </c>
      <c r="Y97" s="88">
        <v>111.7</v>
      </c>
      <c r="Z97" s="88">
        <v>117.8</v>
      </c>
      <c r="AA97" s="88">
        <v>125.1</v>
      </c>
      <c r="AB97" s="88">
        <v>112.3</v>
      </c>
      <c r="AC97" s="88">
        <v>117.2</v>
      </c>
      <c r="AD97" s="88">
        <v>124.8</v>
      </c>
      <c r="AE97" s="88">
        <f t="shared" si="10"/>
        <v>1649.6</v>
      </c>
      <c r="AF97" s="88">
        <f t="shared" si="11"/>
        <v>131.19999999999999</v>
      </c>
      <c r="AG97" s="88">
        <f t="shared" si="12"/>
        <v>376.70000000000005</v>
      </c>
      <c r="AH97" s="88">
        <f t="shared" si="13"/>
        <v>363.5</v>
      </c>
      <c r="AI97" s="88">
        <f t="shared" si="14"/>
        <v>356.8</v>
      </c>
      <c r="AJ97" s="88">
        <f t="shared" si="15"/>
        <v>111.7</v>
      </c>
      <c r="AK97" s="88">
        <f t="shared" si="16"/>
        <v>117.8</v>
      </c>
      <c r="AL97" s="88">
        <f t="shared" si="17"/>
        <v>117.2</v>
      </c>
      <c r="AM97" s="89"/>
    </row>
    <row r="98" spans="1:39" x14ac:dyDescent="0.3">
      <c r="A98" s="84" t="s">
        <v>30</v>
      </c>
      <c r="B98" s="85">
        <v>2015</v>
      </c>
      <c r="C98" s="85" t="s">
        <v>42</v>
      </c>
      <c r="D98" s="85">
        <v>125.1</v>
      </c>
      <c r="E98" s="85">
        <v>131.1</v>
      </c>
      <c r="F98" s="85">
        <v>120.7</v>
      </c>
      <c r="G98" s="85">
        <v>129.19999999999999</v>
      </c>
      <c r="H98" s="85">
        <v>114.7</v>
      </c>
      <c r="I98" s="85">
        <v>132.30000000000001</v>
      </c>
      <c r="J98" s="85">
        <v>158.9</v>
      </c>
      <c r="K98" s="85">
        <v>142.1</v>
      </c>
      <c r="L98" s="85">
        <v>92.5</v>
      </c>
      <c r="M98" s="85">
        <v>125.4</v>
      </c>
      <c r="N98" s="85">
        <v>121.9</v>
      </c>
      <c r="O98" s="85">
        <v>132.69999999999999</v>
      </c>
      <c r="P98" s="85">
        <v>131</v>
      </c>
      <c r="Q98" s="85">
        <v>131</v>
      </c>
      <c r="R98" s="85">
        <v>130.4</v>
      </c>
      <c r="S98" s="85">
        <v>126.8</v>
      </c>
      <c r="T98" s="85">
        <v>129.9</v>
      </c>
      <c r="U98" s="85" t="s">
        <v>32</v>
      </c>
      <c r="V98" s="85">
        <v>123.7</v>
      </c>
      <c r="W98" s="85">
        <v>124.5</v>
      </c>
      <c r="X98" s="85">
        <v>121.4</v>
      </c>
      <c r="Y98" s="85">
        <v>113.8</v>
      </c>
      <c r="Z98" s="85">
        <v>119.6</v>
      </c>
      <c r="AA98" s="85">
        <v>124.5</v>
      </c>
      <c r="AB98" s="85">
        <v>113.7</v>
      </c>
      <c r="AC98" s="85">
        <v>118.8</v>
      </c>
      <c r="AD98" s="85">
        <v>127</v>
      </c>
      <c r="AE98" s="85">
        <f t="shared" si="10"/>
        <v>1657.6000000000001</v>
      </c>
      <c r="AF98" s="85">
        <f t="shared" si="11"/>
        <v>131</v>
      </c>
      <c r="AG98" s="85">
        <f t="shared" si="12"/>
        <v>387.1</v>
      </c>
      <c r="AH98" s="85">
        <f t="shared" si="13"/>
        <v>248.2</v>
      </c>
      <c r="AI98" s="85">
        <f t="shared" si="14"/>
        <v>359.6</v>
      </c>
      <c r="AJ98" s="85">
        <f t="shared" si="15"/>
        <v>113.8</v>
      </c>
      <c r="AK98" s="85">
        <f t="shared" si="16"/>
        <v>119.6</v>
      </c>
      <c r="AL98" s="85">
        <f t="shared" si="17"/>
        <v>118.8</v>
      </c>
      <c r="AM98" s="86"/>
    </row>
    <row r="99" spans="1:39" x14ac:dyDescent="0.3">
      <c r="A99" s="87" t="s">
        <v>33</v>
      </c>
      <c r="B99" s="88">
        <v>2015</v>
      </c>
      <c r="C99" s="88" t="s">
        <v>42</v>
      </c>
      <c r="D99" s="88">
        <v>123.4</v>
      </c>
      <c r="E99" s="88">
        <v>129</v>
      </c>
      <c r="F99" s="88">
        <v>115.6</v>
      </c>
      <c r="G99" s="88">
        <v>128.30000000000001</v>
      </c>
      <c r="H99" s="88">
        <v>107</v>
      </c>
      <c r="I99" s="88">
        <v>124</v>
      </c>
      <c r="J99" s="88">
        <v>168.5</v>
      </c>
      <c r="K99" s="88">
        <v>165.4</v>
      </c>
      <c r="L99" s="88">
        <v>86.3</v>
      </c>
      <c r="M99" s="88">
        <v>134.4</v>
      </c>
      <c r="N99" s="88">
        <v>119.1</v>
      </c>
      <c r="O99" s="88">
        <v>132.30000000000001</v>
      </c>
      <c r="P99" s="88">
        <v>131.5</v>
      </c>
      <c r="Q99" s="88">
        <v>134.69999999999999</v>
      </c>
      <c r="R99" s="88">
        <v>124</v>
      </c>
      <c r="S99" s="88">
        <v>118.6</v>
      </c>
      <c r="T99" s="88">
        <v>123.2</v>
      </c>
      <c r="U99" s="88">
        <v>121.6</v>
      </c>
      <c r="V99" s="88">
        <v>115.1</v>
      </c>
      <c r="W99" s="88">
        <v>120.4</v>
      </c>
      <c r="X99" s="88">
        <v>117.1</v>
      </c>
      <c r="Y99" s="88">
        <v>109.1</v>
      </c>
      <c r="Z99" s="88">
        <v>117.3</v>
      </c>
      <c r="AA99" s="88">
        <v>126.5</v>
      </c>
      <c r="AB99" s="88">
        <v>112.9</v>
      </c>
      <c r="AC99" s="88">
        <v>116.2</v>
      </c>
      <c r="AD99" s="88">
        <v>123.5</v>
      </c>
      <c r="AE99" s="88">
        <f t="shared" si="10"/>
        <v>1664.8</v>
      </c>
      <c r="AF99" s="88">
        <f t="shared" si="11"/>
        <v>134.69999999999999</v>
      </c>
      <c r="AG99" s="88">
        <f t="shared" si="12"/>
        <v>365.8</v>
      </c>
      <c r="AH99" s="88">
        <f t="shared" si="13"/>
        <v>357.1</v>
      </c>
      <c r="AI99" s="88">
        <f t="shared" si="14"/>
        <v>356.5</v>
      </c>
      <c r="AJ99" s="88">
        <f t="shared" si="15"/>
        <v>109.1</v>
      </c>
      <c r="AK99" s="88">
        <f t="shared" si="16"/>
        <v>117.3</v>
      </c>
      <c r="AL99" s="88">
        <f t="shared" si="17"/>
        <v>116.2</v>
      </c>
      <c r="AM99" s="89"/>
    </row>
    <row r="100" spans="1:39" x14ac:dyDescent="0.3">
      <c r="A100" s="84" t="s">
        <v>34</v>
      </c>
      <c r="B100" s="85">
        <v>2015</v>
      </c>
      <c r="C100" s="85" t="s">
        <v>42</v>
      </c>
      <c r="D100" s="85">
        <v>124.6</v>
      </c>
      <c r="E100" s="85">
        <v>130.4</v>
      </c>
      <c r="F100" s="85">
        <v>118.7</v>
      </c>
      <c r="G100" s="85">
        <v>128.9</v>
      </c>
      <c r="H100" s="85">
        <v>111.9</v>
      </c>
      <c r="I100" s="85">
        <v>128.4</v>
      </c>
      <c r="J100" s="85">
        <v>162.19999999999999</v>
      </c>
      <c r="K100" s="85">
        <v>150</v>
      </c>
      <c r="L100" s="85">
        <v>90.4</v>
      </c>
      <c r="M100" s="85">
        <v>128.4</v>
      </c>
      <c r="N100" s="85">
        <v>120.7</v>
      </c>
      <c r="O100" s="85">
        <v>132.5</v>
      </c>
      <c r="P100" s="85">
        <v>131.19999999999999</v>
      </c>
      <c r="Q100" s="85">
        <v>132</v>
      </c>
      <c r="R100" s="85">
        <v>127.9</v>
      </c>
      <c r="S100" s="85">
        <v>123.4</v>
      </c>
      <c r="T100" s="85">
        <v>127.2</v>
      </c>
      <c r="U100" s="85">
        <v>121.6</v>
      </c>
      <c r="V100" s="85">
        <v>120.4</v>
      </c>
      <c r="W100" s="85">
        <v>122.6</v>
      </c>
      <c r="X100" s="85">
        <v>119.8</v>
      </c>
      <c r="Y100" s="85">
        <v>111.3</v>
      </c>
      <c r="Z100" s="85">
        <v>118.3</v>
      </c>
      <c r="AA100" s="85">
        <v>125.7</v>
      </c>
      <c r="AB100" s="85">
        <v>113.4</v>
      </c>
      <c r="AC100" s="85">
        <v>117.5</v>
      </c>
      <c r="AD100" s="85">
        <v>125.4</v>
      </c>
      <c r="AE100" s="85">
        <f t="shared" si="10"/>
        <v>1658.3000000000002</v>
      </c>
      <c r="AF100" s="85">
        <f t="shared" si="11"/>
        <v>132</v>
      </c>
      <c r="AG100" s="85">
        <f t="shared" si="12"/>
        <v>378.5</v>
      </c>
      <c r="AH100" s="85">
        <f t="shared" si="13"/>
        <v>364.6</v>
      </c>
      <c r="AI100" s="85">
        <f t="shared" si="14"/>
        <v>358.9</v>
      </c>
      <c r="AJ100" s="85">
        <f t="shared" si="15"/>
        <v>111.3</v>
      </c>
      <c r="AK100" s="85">
        <f t="shared" si="16"/>
        <v>118.3</v>
      </c>
      <c r="AL100" s="85">
        <f t="shared" si="17"/>
        <v>117.5</v>
      </c>
      <c r="AM100" s="86"/>
    </row>
    <row r="101" spans="1:39" x14ac:dyDescent="0.3">
      <c r="A101" s="87" t="s">
        <v>30</v>
      </c>
      <c r="B101" s="88">
        <v>2015</v>
      </c>
      <c r="C101" s="88" t="s">
        <v>43</v>
      </c>
      <c r="D101" s="88">
        <v>125.6</v>
      </c>
      <c r="E101" s="88">
        <v>130.4</v>
      </c>
      <c r="F101" s="88">
        <v>120.8</v>
      </c>
      <c r="G101" s="88">
        <v>129.4</v>
      </c>
      <c r="H101" s="88">
        <v>115.8</v>
      </c>
      <c r="I101" s="88">
        <v>133.19999999999999</v>
      </c>
      <c r="J101" s="88">
        <v>157.69999999999999</v>
      </c>
      <c r="K101" s="88">
        <v>154.19999999999999</v>
      </c>
      <c r="L101" s="88">
        <v>93.7</v>
      </c>
      <c r="M101" s="88">
        <v>126.6</v>
      </c>
      <c r="N101" s="88">
        <v>122.3</v>
      </c>
      <c r="O101" s="88">
        <v>133.1</v>
      </c>
      <c r="P101" s="88">
        <v>131.80000000000001</v>
      </c>
      <c r="Q101" s="88">
        <v>131.5</v>
      </c>
      <c r="R101" s="88">
        <v>131.1</v>
      </c>
      <c r="S101" s="88">
        <v>127.3</v>
      </c>
      <c r="T101" s="88">
        <v>130.6</v>
      </c>
      <c r="U101" s="88" t="s">
        <v>32</v>
      </c>
      <c r="V101" s="88">
        <v>124.4</v>
      </c>
      <c r="W101" s="88">
        <v>125.1</v>
      </c>
      <c r="X101" s="88">
        <v>122</v>
      </c>
      <c r="Y101" s="88">
        <v>113.8</v>
      </c>
      <c r="Z101" s="88">
        <v>120.1</v>
      </c>
      <c r="AA101" s="88">
        <v>125.1</v>
      </c>
      <c r="AB101" s="88">
        <v>114.2</v>
      </c>
      <c r="AC101" s="88">
        <v>119.2</v>
      </c>
      <c r="AD101" s="88">
        <v>127.7</v>
      </c>
      <c r="AE101" s="88">
        <f t="shared" si="10"/>
        <v>1674.6</v>
      </c>
      <c r="AF101" s="88">
        <f t="shared" si="11"/>
        <v>131.5</v>
      </c>
      <c r="AG101" s="88">
        <f t="shared" si="12"/>
        <v>389</v>
      </c>
      <c r="AH101" s="88">
        <f t="shared" si="13"/>
        <v>249.5</v>
      </c>
      <c r="AI101" s="88">
        <f t="shared" si="14"/>
        <v>361.3</v>
      </c>
      <c r="AJ101" s="88">
        <f t="shared" si="15"/>
        <v>113.8</v>
      </c>
      <c r="AK101" s="88">
        <f t="shared" si="16"/>
        <v>120.1</v>
      </c>
      <c r="AL101" s="88">
        <f t="shared" si="17"/>
        <v>119.2</v>
      </c>
      <c r="AM101" s="89"/>
    </row>
    <row r="102" spans="1:39" x14ac:dyDescent="0.3">
      <c r="A102" s="84" t="s">
        <v>33</v>
      </c>
      <c r="B102" s="85">
        <v>2015</v>
      </c>
      <c r="C102" s="85" t="s">
        <v>43</v>
      </c>
      <c r="D102" s="85">
        <v>123.6</v>
      </c>
      <c r="E102" s="85">
        <v>128.6</v>
      </c>
      <c r="F102" s="85">
        <v>115.9</v>
      </c>
      <c r="G102" s="85">
        <v>128.5</v>
      </c>
      <c r="H102" s="85">
        <v>109</v>
      </c>
      <c r="I102" s="85">
        <v>124.1</v>
      </c>
      <c r="J102" s="85">
        <v>165.8</v>
      </c>
      <c r="K102" s="85">
        <v>187.2</v>
      </c>
      <c r="L102" s="85">
        <v>89.4</v>
      </c>
      <c r="M102" s="85">
        <v>135.80000000000001</v>
      </c>
      <c r="N102" s="85">
        <v>119.4</v>
      </c>
      <c r="O102" s="85">
        <v>132.9</v>
      </c>
      <c r="P102" s="85">
        <v>132.6</v>
      </c>
      <c r="Q102" s="85">
        <v>135.30000000000001</v>
      </c>
      <c r="R102" s="85">
        <v>124.4</v>
      </c>
      <c r="S102" s="85">
        <v>118.8</v>
      </c>
      <c r="T102" s="85">
        <v>123.6</v>
      </c>
      <c r="U102" s="85">
        <v>122.4</v>
      </c>
      <c r="V102" s="85">
        <v>114.9</v>
      </c>
      <c r="W102" s="85">
        <v>120.7</v>
      </c>
      <c r="X102" s="85">
        <v>117.7</v>
      </c>
      <c r="Y102" s="85">
        <v>109.3</v>
      </c>
      <c r="Z102" s="85">
        <v>117.7</v>
      </c>
      <c r="AA102" s="85">
        <v>126.5</v>
      </c>
      <c r="AB102" s="85">
        <v>113.5</v>
      </c>
      <c r="AC102" s="85">
        <v>116.5</v>
      </c>
      <c r="AD102" s="85">
        <v>124.2</v>
      </c>
      <c r="AE102" s="85">
        <f t="shared" si="10"/>
        <v>1692.8000000000002</v>
      </c>
      <c r="AF102" s="85">
        <f t="shared" si="11"/>
        <v>135.30000000000001</v>
      </c>
      <c r="AG102" s="85">
        <f t="shared" si="12"/>
        <v>366.79999999999995</v>
      </c>
      <c r="AH102" s="85">
        <f t="shared" si="13"/>
        <v>358</v>
      </c>
      <c r="AI102" s="85">
        <f t="shared" si="14"/>
        <v>357.7</v>
      </c>
      <c r="AJ102" s="85">
        <f t="shared" si="15"/>
        <v>109.3</v>
      </c>
      <c r="AK102" s="85">
        <f t="shared" si="16"/>
        <v>117.7</v>
      </c>
      <c r="AL102" s="85">
        <f t="shared" si="17"/>
        <v>116.5</v>
      </c>
      <c r="AM102" s="86"/>
    </row>
    <row r="103" spans="1:39" x14ac:dyDescent="0.3">
      <c r="A103" s="87" t="s">
        <v>34</v>
      </c>
      <c r="B103" s="88">
        <v>2015</v>
      </c>
      <c r="C103" s="88" t="s">
        <v>43</v>
      </c>
      <c r="D103" s="88">
        <v>125</v>
      </c>
      <c r="E103" s="88">
        <v>129.80000000000001</v>
      </c>
      <c r="F103" s="88">
        <v>118.9</v>
      </c>
      <c r="G103" s="88">
        <v>129.1</v>
      </c>
      <c r="H103" s="88">
        <v>113.3</v>
      </c>
      <c r="I103" s="88">
        <v>129</v>
      </c>
      <c r="J103" s="88">
        <v>160.4</v>
      </c>
      <c r="K103" s="88">
        <v>165.3</v>
      </c>
      <c r="L103" s="88">
        <v>92.3</v>
      </c>
      <c r="M103" s="88">
        <v>129.69999999999999</v>
      </c>
      <c r="N103" s="88">
        <v>121.1</v>
      </c>
      <c r="O103" s="88">
        <v>133</v>
      </c>
      <c r="P103" s="88">
        <v>132.1</v>
      </c>
      <c r="Q103" s="88">
        <v>132.5</v>
      </c>
      <c r="R103" s="88">
        <v>128.5</v>
      </c>
      <c r="S103" s="88">
        <v>123.8</v>
      </c>
      <c r="T103" s="88">
        <v>127.8</v>
      </c>
      <c r="U103" s="88">
        <v>122.4</v>
      </c>
      <c r="V103" s="88">
        <v>120.8</v>
      </c>
      <c r="W103" s="88">
        <v>123</v>
      </c>
      <c r="X103" s="88">
        <v>120.4</v>
      </c>
      <c r="Y103" s="88">
        <v>111.4</v>
      </c>
      <c r="Z103" s="88">
        <v>118.7</v>
      </c>
      <c r="AA103" s="88">
        <v>125.9</v>
      </c>
      <c r="AB103" s="88">
        <v>113.9</v>
      </c>
      <c r="AC103" s="88">
        <v>117.9</v>
      </c>
      <c r="AD103" s="88">
        <v>126.1</v>
      </c>
      <c r="AE103" s="88">
        <f t="shared" si="10"/>
        <v>1678.9999999999998</v>
      </c>
      <c r="AF103" s="88">
        <f t="shared" si="11"/>
        <v>132.5</v>
      </c>
      <c r="AG103" s="88">
        <f t="shared" si="12"/>
        <v>380.1</v>
      </c>
      <c r="AH103" s="88">
        <f t="shared" si="13"/>
        <v>366.2</v>
      </c>
      <c r="AI103" s="88">
        <f t="shared" si="14"/>
        <v>360.20000000000005</v>
      </c>
      <c r="AJ103" s="88">
        <f t="shared" si="15"/>
        <v>111.4</v>
      </c>
      <c r="AK103" s="88">
        <f t="shared" si="16"/>
        <v>118.7</v>
      </c>
      <c r="AL103" s="88">
        <f t="shared" si="17"/>
        <v>117.9</v>
      </c>
      <c r="AM103" s="89"/>
    </row>
    <row r="104" spans="1:39" x14ac:dyDescent="0.3">
      <c r="A104" s="84" t="s">
        <v>30</v>
      </c>
      <c r="B104" s="85">
        <v>2015</v>
      </c>
      <c r="C104" s="85" t="s">
        <v>45</v>
      </c>
      <c r="D104" s="85">
        <v>126.1</v>
      </c>
      <c r="E104" s="85">
        <v>130.6</v>
      </c>
      <c r="F104" s="85">
        <v>121.7</v>
      </c>
      <c r="G104" s="85">
        <v>129.5</v>
      </c>
      <c r="H104" s="85">
        <v>117.8</v>
      </c>
      <c r="I104" s="85">
        <v>132.1</v>
      </c>
      <c r="J104" s="85">
        <v>155.19999999999999</v>
      </c>
      <c r="K104" s="85">
        <v>160.80000000000001</v>
      </c>
      <c r="L104" s="85">
        <v>94.5</v>
      </c>
      <c r="M104" s="85">
        <v>128.30000000000001</v>
      </c>
      <c r="N104" s="85">
        <v>123.1</v>
      </c>
      <c r="O104" s="85">
        <v>134.19999999999999</v>
      </c>
      <c r="P104" s="85">
        <v>132.4</v>
      </c>
      <c r="Q104" s="85">
        <v>132.19999999999999</v>
      </c>
      <c r="R104" s="85">
        <v>132.1</v>
      </c>
      <c r="S104" s="85">
        <v>128.19999999999999</v>
      </c>
      <c r="T104" s="85">
        <v>131.5</v>
      </c>
      <c r="U104" s="85" t="s">
        <v>32</v>
      </c>
      <c r="V104" s="85">
        <v>125.6</v>
      </c>
      <c r="W104" s="85">
        <v>125.6</v>
      </c>
      <c r="X104" s="85">
        <v>122.6</v>
      </c>
      <c r="Y104" s="85">
        <v>114</v>
      </c>
      <c r="Z104" s="85">
        <v>120.9</v>
      </c>
      <c r="AA104" s="85">
        <v>125.8</v>
      </c>
      <c r="AB104" s="85">
        <v>114.2</v>
      </c>
      <c r="AC104" s="85">
        <v>119.6</v>
      </c>
      <c r="AD104" s="85">
        <v>128.30000000000001</v>
      </c>
      <c r="AE104" s="85">
        <f t="shared" si="10"/>
        <v>1686.3</v>
      </c>
      <c r="AF104" s="85">
        <f t="shared" si="11"/>
        <v>132.19999999999999</v>
      </c>
      <c r="AG104" s="85">
        <f t="shared" si="12"/>
        <v>391.79999999999995</v>
      </c>
      <c r="AH104" s="85">
        <f t="shared" si="13"/>
        <v>251.2</v>
      </c>
      <c r="AI104" s="85">
        <f t="shared" si="14"/>
        <v>362.59999999999997</v>
      </c>
      <c r="AJ104" s="85">
        <f t="shared" si="15"/>
        <v>114</v>
      </c>
      <c r="AK104" s="85">
        <f t="shared" si="16"/>
        <v>120.9</v>
      </c>
      <c r="AL104" s="85">
        <f t="shared" si="17"/>
        <v>119.6</v>
      </c>
      <c r="AM104" s="86"/>
    </row>
    <row r="105" spans="1:39" x14ac:dyDescent="0.3">
      <c r="A105" s="87" t="s">
        <v>33</v>
      </c>
      <c r="B105" s="88">
        <v>2015</v>
      </c>
      <c r="C105" s="88" t="s">
        <v>45</v>
      </c>
      <c r="D105" s="88">
        <v>124</v>
      </c>
      <c r="E105" s="88">
        <v>129.80000000000001</v>
      </c>
      <c r="F105" s="88">
        <v>121.5</v>
      </c>
      <c r="G105" s="88">
        <v>128.6</v>
      </c>
      <c r="H105" s="88">
        <v>110</v>
      </c>
      <c r="I105" s="88">
        <v>123.7</v>
      </c>
      <c r="J105" s="88">
        <v>164.6</v>
      </c>
      <c r="K105" s="88">
        <v>191.6</v>
      </c>
      <c r="L105" s="88">
        <v>90.8</v>
      </c>
      <c r="M105" s="88">
        <v>137.1</v>
      </c>
      <c r="N105" s="88">
        <v>119.8</v>
      </c>
      <c r="O105" s="88">
        <v>133.69999999999999</v>
      </c>
      <c r="P105" s="88">
        <v>133.30000000000001</v>
      </c>
      <c r="Q105" s="88">
        <v>137.6</v>
      </c>
      <c r="R105" s="88">
        <v>125</v>
      </c>
      <c r="S105" s="88">
        <v>119.3</v>
      </c>
      <c r="T105" s="88">
        <v>124.2</v>
      </c>
      <c r="U105" s="88">
        <v>122.9</v>
      </c>
      <c r="V105" s="88">
        <v>115.1</v>
      </c>
      <c r="W105" s="88">
        <v>121</v>
      </c>
      <c r="X105" s="88">
        <v>118.1</v>
      </c>
      <c r="Y105" s="88">
        <v>109.3</v>
      </c>
      <c r="Z105" s="88">
        <v>117.9</v>
      </c>
      <c r="AA105" s="88">
        <v>126.6</v>
      </c>
      <c r="AB105" s="88">
        <v>113.3</v>
      </c>
      <c r="AC105" s="88">
        <v>116.6</v>
      </c>
      <c r="AD105" s="88">
        <v>124.6</v>
      </c>
      <c r="AE105" s="88">
        <f t="shared" si="10"/>
        <v>1708.4999999999998</v>
      </c>
      <c r="AF105" s="88">
        <f t="shared" si="11"/>
        <v>137.6</v>
      </c>
      <c r="AG105" s="88">
        <f t="shared" si="12"/>
        <v>368.5</v>
      </c>
      <c r="AH105" s="88">
        <f t="shared" si="13"/>
        <v>359</v>
      </c>
      <c r="AI105" s="88">
        <f t="shared" si="14"/>
        <v>358</v>
      </c>
      <c r="AJ105" s="88">
        <f t="shared" si="15"/>
        <v>109.3</v>
      </c>
      <c r="AK105" s="88">
        <f t="shared" si="16"/>
        <v>117.9</v>
      </c>
      <c r="AL105" s="88">
        <f t="shared" si="17"/>
        <v>116.6</v>
      </c>
      <c r="AM105" s="89"/>
    </row>
    <row r="106" spans="1:39" x14ac:dyDescent="0.3">
      <c r="A106" s="84" t="s">
        <v>34</v>
      </c>
      <c r="B106" s="85">
        <v>2015</v>
      </c>
      <c r="C106" s="85" t="s">
        <v>45</v>
      </c>
      <c r="D106" s="85">
        <v>125.4</v>
      </c>
      <c r="E106" s="85">
        <v>130.30000000000001</v>
      </c>
      <c r="F106" s="85">
        <v>121.6</v>
      </c>
      <c r="G106" s="85">
        <v>129.19999999999999</v>
      </c>
      <c r="H106" s="85">
        <v>114.9</v>
      </c>
      <c r="I106" s="85">
        <v>128.19999999999999</v>
      </c>
      <c r="J106" s="85">
        <v>158.4</v>
      </c>
      <c r="K106" s="85">
        <v>171.2</v>
      </c>
      <c r="L106" s="85">
        <v>93.3</v>
      </c>
      <c r="M106" s="85">
        <v>131.19999999999999</v>
      </c>
      <c r="N106" s="85">
        <v>121.7</v>
      </c>
      <c r="O106" s="85">
        <v>134</v>
      </c>
      <c r="P106" s="85">
        <v>132.69999999999999</v>
      </c>
      <c r="Q106" s="85">
        <v>133.6</v>
      </c>
      <c r="R106" s="85">
        <v>129.30000000000001</v>
      </c>
      <c r="S106" s="85">
        <v>124.5</v>
      </c>
      <c r="T106" s="85">
        <v>128.6</v>
      </c>
      <c r="U106" s="85">
        <v>122.9</v>
      </c>
      <c r="V106" s="85">
        <v>121.6</v>
      </c>
      <c r="W106" s="85">
        <v>123.4</v>
      </c>
      <c r="X106" s="85">
        <v>120.9</v>
      </c>
      <c r="Y106" s="85">
        <v>111.5</v>
      </c>
      <c r="Z106" s="85">
        <v>119.2</v>
      </c>
      <c r="AA106" s="85">
        <v>126.3</v>
      </c>
      <c r="AB106" s="85">
        <v>113.8</v>
      </c>
      <c r="AC106" s="85">
        <v>118.1</v>
      </c>
      <c r="AD106" s="85">
        <v>126.6</v>
      </c>
      <c r="AE106" s="85">
        <f t="shared" si="10"/>
        <v>1692.1</v>
      </c>
      <c r="AF106" s="85">
        <f t="shared" si="11"/>
        <v>133.6</v>
      </c>
      <c r="AG106" s="85">
        <f t="shared" si="12"/>
        <v>382.4</v>
      </c>
      <c r="AH106" s="85">
        <f t="shared" si="13"/>
        <v>367.9</v>
      </c>
      <c r="AI106" s="85">
        <f t="shared" si="14"/>
        <v>361</v>
      </c>
      <c r="AJ106" s="85">
        <f t="shared" si="15"/>
        <v>111.5</v>
      </c>
      <c r="AK106" s="85">
        <f t="shared" si="16"/>
        <v>119.2</v>
      </c>
      <c r="AL106" s="85">
        <f t="shared" si="17"/>
        <v>118.1</v>
      </c>
      <c r="AM106" s="86"/>
    </row>
    <row r="107" spans="1:39" x14ac:dyDescent="0.3">
      <c r="A107" s="87" t="s">
        <v>30</v>
      </c>
      <c r="B107" s="88">
        <v>2015</v>
      </c>
      <c r="C107" s="88" t="s">
        <v>46</v>
      </c>
      <c r="D107" s="88">
        <v>126.3</v>
      </c>
      <c r="E107" s="88">
        <v>131.30000000000001</v>
      </c>
      <c r="F107" s="88">
        <v>123.3</v>
      </c>
      <c r="G107" s="88">
        <v>129.80000000000001</v>
      </c>
      <c r="H107" s="88">
        <v>118.3</v>
      </c>
      <c r="I107" s="88">
        <v>131.6</v>
      </c>
      <c r="J107" s="88">
        <v>145.5</v>
      </c>
      <c r="K107" s="88">
        <v>162.1</v>
      </c>
      <c r="L107" s="88">
        <v>95.4</v>
      </c>
      <c r="M107" s="88">
        <v>128.9</v>
      </c>
      <c r="N107" s="88">
        <v>123.3</v>
      </c>
      <c r="O107" s="88">
        <v>135.1</v>
      </c>
      <c r="P107" s="88">
        <v>131.4</v>
      </c>
      <c r="Q107" s="88">
        <v>133.1</v>
      </c>
      <c r="R107" s="88">
        <v>132.5</v>
      </c>
      <c r="S107" s="88">
        <v>128.5</v>
      </c>
      <c r="T107" s="88">
        <v>131.9</v>
      </c>
      <c r="U107" s="88" t="s">
        <v>32</v>
      </c>
      <c r="V107" s="88">
        <v>125.7</v>
      </c>
      <c r="W107" s="88">
        <v>126</v>
      </c>
      <c r="X107" s="88">
        <v>123.1</v>
      </c>
      <c r="Y107" s="88">
        <v>114</v>
      </c>
      <c r="Z107" s="88">
        <v>121.6</v>
      </c>
      <c r="AA107" s="88">
        <v>125.6</v>
      </c>
      <c r="AB107" s="88">
        <v>114.1</v>
      </c>
      <c r="AC107" s="88">
        <v>119.8</v>
      </c>
      <c r="AD107" s="88">
        <v>127.9</v>
      </c>
      <c r="AE107" s="88">
        <f t="shared" si="10"/>
        <v>1682.3000000000002</v>
      </c>
      <c r="AF107" s="88">
        <f t="shared" si="11"/>
        <v>133.1</v>
      </c>
      <c r="AG107" s="88">
        <f t="shared" si="12"/>
        <v>392.9</v>
      </c>
      <c r="AH107" s="88">
        <f t="shared" si="13"/>
        <v>251.7</v>
      </c>
      <c r="AI107" s="88">
        <f t="shared" si="14"/>
        <v>362.79999999999995</v>
      </c>
      <c r="AJ107" s="88">
        <f t="shared" si="15"/>
        <v>114</v>
      </c>
      <c r="AK107" s="88">
        <f t="shared" si="16"/>
        <v>121.6</v>
      </c>
      <c r="AL107" s="88">
        <f t="shared" si="17"/>
        <v>119.8</v>
      </c>
      <c r="AM107" s="89"/>
    </row>
    <row r="108" spans="1:39" x14ac:dyDescent="0.3">
      <c r="A108" s="84" t="s">
        <v>33</v>
      </c>
      <c r="B108" s="85">
        <v>2015</v>
      </c>
      <c r="C108" s="85" t="s">
        <v>46</v>
      </c>
      <c r="D108" s="85">
        <v>124.3</v>
      </c>
      <c r="E108" s="85">
        <v>131.69999999999999</v>
      </c>
      <c r="F108" s="85">
        <v>127.1</v>
      </c>
      <c r="G108" s="85">
        <v>128.6</v>
      </c>
      <c r="H108" s="85">
        <v>110</v>
      </c>
      <c r="I108" s="85">
        <v>120.8</v>
      </c>
      <c r="J108" s="85">
        <v>149</v>
      </c>
      <c r="K108" s="85">
        <v>190.1</v>
      </c>
      <c r="L108" s="85">
        <v>92.7</v>
      </c>
      <c r="M108" s="85">
        <v>138.6</v>
      </c>
      <c r="N108" s="85">
        <v>120.2</v>
      </c>
      <c r="O108" s="85">
        <v>134.19999999999999</v>
      </c>
      <c r="P108" s="85">
        <v>131.5</v>
      </c>
      <c r="Q108" s="85">
        <v>138.19999999999999</v>
      </c>
      <c r="R108" s="85">
        <v>125.4</v>
      </c>
      <c r="S108" s="85">
        <v>119.5</v>
      </c>
      <c r="T108" s="85">
        <v>124.5</v>
      </c>
      <c r="U108" s="85">
        <v>122.4</v>
      </c>
      <c r="V108" s="85">
        <v>116</v>
      </c>
      <c r="W108" s="85">
        <v>121</v>
      </c>
      <c r="X108" s="85">
        <v>118.6</v>
      </c>
      <c r="Y108" s="85">
        <v>109.3</v>
      </c>
      <c r="Z108" s="85">
        <v>118.1</v>
      </c>
      <c r="AA108" s="85">
        <v>126.6</v>
      </c>
      <c r="AB108" s="85">
        <v>113.2</v>
      </c>
      <c r="AC108" s="85">
        <v>116.7</v>
      </c>
      <c r="AD108" s="85">
        <v>124</v>
      </c>
      <c r="AE108" s="85">
        <f t="shared" si="10"/>
        <v>1698.8</v>
      </c>
      <c r="AF108" s="85">
        <f t="shared" si="11"/>
        <v>138.19999999999999</v>
      </c>
      <c r="AG108" s="85">
        <f t="shared" si="12"/>
        <v>369.4</v>
      </c>
      <c r="AH108" s="85">
        <f t="shared" si="13"/>
        <v>359.4</v>
      </c>
      <c r="AI108" s="85">
        <f t="shared" si="14"/>
        <v>358.4</v>
      </c>
      <c r="AJ108" s="85">
        <f t="shared" si="15"/>
        <v>109.3</v>
      </c>
      <c r="AK108" s="85">
        <f t="shared" si="16"/>
        <v>118.1</v>
      </c>
      <c r="AL108" s="85">
        <f t="shared" si="17"/>
        <v>116.7</v>
      </c>
      <c r="AM108" s="86"/>
    </row>
    <row r="109" spans="1:39" x14ac:dyDescent="0.3">
      <c r="A109" s="87" t="s">
        <v>34</v>
      </c>
      <c r="B109" s="88">
        <v>2015</v>
      </c>
      <c r="C109" s="88" t="s">
        <v>46</v>
      </c>
      <c r="D109" s="88">
        <v>125.7</v>
      </c>
      <c r="E109" s="88">
        <v>131.4</v>
      </c>
      <c r="F109" s="88">
        <v>124.8</v>
      </c>
      <c r="G109" s="88">
        <v>129.4</v>
      </c>
      <c r="H109" s="88">
        <v>115.3</v>
      </c>
      <c r="I109" s="88">
        <v>126.6</v>
      </c>
      <c r="J109" s="88">
        <v>146.69999999999999</v>
      </c>
      <c r="K109" s="88">
        <v>171.5</v>
      </c>
      <c r="L109" s="88">
        <v>94.5</v>
      </c>
      <c r="M109" s="88">
        <v>132.1</v>
      </c>
      <c r="N109" s="88">
        <v>122</v>
      </c>
      <c r="O109" s="88">
        <v>134.69999999999999</v>
      </c>
      <c r="P109" s="88">
        <v>131.4</v>
      </c>
      <c r="Q109" s="88">
        <v>134.5</v>
      </c>
      <c r="R109" s="88">
        <v>129.69999999999999</v>
      </c>
      <c r="S109" s="88">
        <v>124.8</v>
      </c>
      <c r="T109" s="88">
        <v>129</v>
      </c>
      <c r="U109" s="88">
        <v>122.4</v>
      </c>
      <c r="V109" s="88">
        <v>122</v>
      </c>
      <c r="W109" s="88">
        <v>123.6</v>
      </c>
      <c r="X109" s="88">
        <v>121.4</v>
      </c>
      <c r="Y109" s="88">
        <v>111.5</v>
      </c>
      <c r="Z109" s="88">
        <v>119.6</v>
      </c>
      <c r="AA109" s="88">
        <v>126.2</v>
      </c>
      <c r="AB109" s="88">
        <v>113.7</v>
      </c>
      <c r="AC109" s="88">
        <v>118.3</v>
      </c>
      <c r="AD109" s="88">
        <v>126.1</v>
      </c>
      <c r="AE109" s="88">
        <f t="shared" si="10"/>
        <v>1686.1000000000001</v>
      </c>
      <c r="AF109" s="88">
        <f t="shared" si="11"/>
        <v>134.5</v>
      </c>
      <c r="AG109" s="88">
        <f t="shared" si="12"/>
        <v>383.5</v>
      </c>
      <c r="AH109" s="88">
        <f t="shared" si="13"/>
        <v>368</v>
      </c>
      <c r="AI109" s="88">
        <f t="shared" si="14"/>
        <v>361.3</v>
      </c>
      <c r="AJ109" s="88">
        <f t="shared" si="15"/>
        <v>111.5</v>
      </c>
      <c r="AK109" s="88">
        <f t="shared" si="16"/>
        <v>119.6</v>
      </c>
      <c r="AL109" s="88">
        <f t="shared" si="17"/>
        <v>118.3</v>
      </c>
      <c r="AM109" s="89"/>
    </row>
    <row r="110" spans="1:39" x14ac:dyDescent="0.3">
      <c r="A110" s="84" t="s">
        <v>30</v>
      </c>
      <c r="B110" s="85">
        <v>2016</v>
      </c>
      <c r="C110" s="85" t="s">
        <v>31</v>
      </c>
      <c r="D110" s="85">
        <v>126.8</v>
      </c>
      <c r="E110" s="85">
        <v>133.19999999999999</v>
      </c>
      <c r="F110" s="85">
        <v>126.5</v>
      </c>
      <c r="G110" s="85">
        <v>130.30000000000001</v>
      </c>
      <c r="H110" s="85">
        <v>118.9</v>
      </c>
      <c r="I110" s="85">
        <v>131.6</v>
      </c>
      <c r="J110" s="85">
        <v>140.1</v>
      </c>
      <c r="K110" s="85">
        <v>163.80000000000001</v>
      </c>
      <c r="L110" s="85">
        <v>97.7</v>
      </c>
      <c r="M110" s="85">
        <v>129.6</v>
      </c>
      <c r="N110" s="85">
        <v>124.3</v>
      </c>
      <c r="O110" s="85">
        <v>135.9</v>
      </c>
      <c r="P110" s="85">
        <v>131.4</v>
      </c>
      <c r="Q110" s="85">
        <v>133.6</v>
      </c>
      <c r="R110" s="85">
        <v>133.19999999999999</v>
      </c>
      <c r="S110" s="85">
        <v>128.9</v>
      </c>
      <c r="T110" s="85">
        <v>132.6</v>
      </c>
      <c r="U110" s="85" t="s">
        <v>32</v>
      </c>
      <c r="V110" s="85">
        <v>126.2</v>
      </c>
      <c r="W110" s="85">
        <v>126.6</v>
      </c>
      <c r="X110" s="85">
        <v>123.7</v>
      </c>
      <c r="Y110" s="85">
        <v>113.6</v>
      </c>
      <c r="Z110" s="85">
        <v>121.4</v>
      </c>
      <c r="AA110" s="85">
        <v>126.2</v>
      </c>
      <c r="AB110" s="85">
        <v>114.9</v>
      </c>
      <c r="AC110" s="85">
        <v>120.1</v>
      </c>
      <c r="AD110" s="85">
        <v>128.1</v>
      </c>
      <c r="AE110" s="85">
        <f t="shared" si="10"/>
        <v>1690.1000000000001</v>
      </c>
      <c r="AF110" s="85">
        <f t="shared" si="11"/>
        <v>133.6</v>
      </c>
      <c r="AG110" s="85">
        <f t="shared" si="12"/>
        <v>394.70000000000005</v>
      </c>
      <c r="AH110" s="85">
        <f t="shared" si="13"/>
        <v>252.8</v>
      </c>
      <c r="AI110" s="85">
        <f t="shared" si="14"/>
        <v>364.8</v>
      </c>
      <c r="AJ110" s="85">
        <f t="shared" si="15"/>
        <v>113.6</v>
      </c>
      <c r="AK110" s="85">
        <f t="shared" si="16"/>
        <v>121.4</v>
      </c>
      <c r="AL110" s="85">
        <f t="shared" si="17"/>
        <v>120.1</v>
      </c>
      <c r="AM110" s="86"/>
    </row>
    <row r="111" spans="1:39" x14ac:dyDescent="0.3">
      <c r="A111" s="87" t="s">
        <v>33</v>
      </c>
      <c r="B111" s="88">
        <v>2016</v>
      </c>
      <c r="C111" s="88" t="s">
        <v>31</v>
      </c>
      <c r="D111" s="88">
        <v>124.7</v>
      </c>
      <c r="E111" s="88">
        <v>135.9</v>
      </c>
      <c r="F111" s="88">
        <v>132</v>
      </c>
      <c r="G111" s="88">
        <v>129.19999999999999</v>
      </c>
      <c r="H111" s="88">
        <v>109.7</v>
      </c>
      <c r="I111" s="88">
        <v>119</v>
      </c>
      <c r="J111" s="88">
        <v>144.1</v>
      </c>
      <c r="K111" s="88">
        <v>184.2</v>
      </c>
      <c r="L111" s="88">
        <v>96.7</v>
      </c>
      <c r="M111" s="88">
        <v>139.5</v>
      </c>
      <c r="N111" s="88">
        <v>120.5</v>
      </c>
      <c r="O111" s="88">
        <v>134.69999999999999</v>
      </c>
      <c r="P111" s="88">
        <v>131.19999999999999</v>
      </c>
      <c r="Q111" s="88">
        <v>139.5</v>
      </c>
      <c r="R111" s="88">
        <v>125.8</v>
      </c>
      <c r="S111" s="88">
        <v>119.8</v>
      </c>
      <c r="T111" s="88">
        <v>124.9</v>
      </c>
      <c r="U111" s="88">
        <v>123.4</v>
      </c>
      <c r="V111" s="88">
        <v>116.9</v>
      </c>
      <c r="W111" s="88">
        <v>121.6</v>
      </c>
      <c r="X111" s="88">
        <v>119.1</v>
      </c>
      <c r="Y111" s="88">
        <v>108.9</v>
      </c>
      <c r="Z111" s="88">
        <v>118.5</v>
      </c>
      <c r="AA111" s="88">
        <v>126.4</v>
      </c>
      <c r="AB111" s="88">
        <v>114</v>
      </c>
      <c r="AC111" s="88">
        <v>116.8</v>
      </c>
      <c r="AD111" s="88">
        <v>124.2</v>
      </c>
      <c r="AE111" s="88">
        <f t="shared" si="10"/>
        <v>1701.4</v>
      </c>
      <c r="AF111" s="88">
        <f t="shared" si="11"/>
        <v>139.5</v>
      </c>
      <c r="AG111" s="88">
        <f t="shared" si="12"/>
        <v>370.5</v>
      </c>
      <c r="AH111" s="88">
        <f t="shared" si="13"/>
        <v>361.9</v>
      </c>
      <c r="AI111" s="88">
        <f t="shared" si="14"/>
        <v>359.5</v>
      </c>
      <c r="AJ111" s="88">
        <f t="shared" si="15"/>
        <v>108.9</v>
      </c>
      <c r="AK111" s="88">
        <f t="shared" si="16"/>
        <v>118.5</v>
      </c>
      <c r="AL111" s="88">
        <f t="shared" si="17"/>
        <v>116.8</v>
      </c>
      <c r="AM111" s="89"/>
    </row>
    <row r="112" spans="1:39" x14ac:dyDescent="0.3">
      <c r="A112" s="84" t="s">
        <v>34</v>
      </c>
      <c r="B112" s="85">
        <v>2016</v>
      </c>
      <c r="C112" s="85" t="s">
        <v>31</v>
      </c>
      <c r="D112" s="85">
        <v>126.1</v>
      </c>
      <c r="E112" s="85">
        <v>134.1</v>
      </c>
      <c r="F112" s="85">
        <v>128.6</v>
      </c>
      <c r="G112" s="85">
        <v>129.9</v>
      </c>
      <c r="H112" s="85">
        <v>115.5</v>
      </c>
      <c r="I112" s="85">
        <v>125.7</v>
      </c>
      <c r="J112" s="85">
        <v>141.5</v>
      </c>
      <c r="K112" s="85">
        <v>170.7</v>
      </c>
      <c r="L112" s="85">
        <v>97.4</v>
      </c>
      <c r="M112" s="85">
        <v>132.9</v>
      </c>
      <c r="N112" s="85">
        <v>122.7</v>
      </c>
      <c r="O112" s="85">
        <v>135.30000000000001</v>
      </c>
      <c r="P112" s="85">
        <v>131.30000000000001</v>
      </c>
      <c r="Q112" s="85">
        <v>135.19999999999999</v>
      </c>
      <c r="R112" s="85">
        <v>130.30000000000001</v>
      </c>
      <c r="S112" s="85">
        <v>125.1</v>
      </c>
      <c r="T112" s="85">
        <v>129.5</v>
      </c>
      <c r="U112" s="85">
        <v>123.4</v>
      </c>
      <c r="V112" s="85">
        <v>122.7</v>
      </c>
      <c r="W112" s="85">
        <v>124.2</v>
      </c>
      <c r="X112" s="85">
        <v>122</v>
      </c>
      <c r="Y112" s="85">
        <v>111.1</v>
      </c>
      <c r="Z112" s="85">
        <v>119.8</v>
      </c>
      <c r="AA112" s="85">
        <v>126.3</v>
      </c>
      <c r="AB112" s="85">
        <v>114.5</v>
      </c>
      <c r="AC112" s="85">
        <v>118.5</v>
      </c>
      <c r="AD112" s="85">
        <v>126.3</v>
      </c>
      <c r="AE112" s="85">
        <f t="shared" si="10"/>
        <v>1691.7</v>
      </c>
      <c r="AF112" s="85">
        <f t="shared" si="11"/>
        <v>135.19999999999999</v>
      </c>
      <c r="AG112" s="85">
        <f t="shared" si="12"/>
        <v>384.9</v>
      </c>
      <c r="AH112" s="85">
        <f t="shared" si="13"/>
        <v>370.3</v>
      </c>
      <c r="AI112" s="85">
        <f t="shared" si="14"/>
        <v>362.8</v>
      </c>
      <c r="AJ112" s="85">
        <f t="shared" si="15"/>
        <v>111.1</v>
      </c>
      <c r="AK112" s="85">
        <f t="shared" si="16"/>
        <v>119.8</v>
      </c>
      <c r="AL112" s="85">
        <f t="shared" si="17"/>
        <v>118.5</v>
      </c>
      <c r="AM112" s="86"/>
    </row>
    <row r="113" spans="1:39" x14ac:dyDescent="0.3">
      <c r="A113" s="87" t="s">
        <v>30</v>
      </c>
      <c r="B113" s="88">
        <v>2016</v>
      </c>
      <c r="C113" s="88" t="s">
        <v>35</v>
      </c>
      <c r="D113" s="88">
        <v>127.1</v>
      </c>
      <c r="E113" s="88">
        <v>133.69999999999999</v>
      </c>
      <c r="F113" s="88">
        <v>127.7</v>
      </c>
      <c r="G113" s="88">
        <v>130.69999999999999</v>
      </c>
      <c r="H113" s="88">
        <v>118.5</v>
      </c>
      <c r="I113" s="88">
        <v>130.4</v>
      </c>
      <c r="J113" s="88">
        <v>130.9</v>
      </c>
      <c r="K113" s="88">
        <v>162.80000000000001</v>
      </c>
      <c r="L113" s="88">
        <v>98.7</v>
      </c>
      <c r="M113" s="88">
        <v>130.6</v>
      </c>
      <c r="N113" s="88">
        <v>124.8</v>
      </c>
      <c r="O113" s="88">
        <v>136.4</v>
      </c>
      <c r="P113" s="88">
        <v>130.30000000000001</v>
      </c>
      <c r="Q113" s="88">
        <v>134.4</v>
      </c>
      <c r="R113" s="88">
        <v>133.9</v>
      </c>
      <c r="S113" s="88">
        <v>129.80000000000001</v>
      </c>
      <c r="T113" s="88">
        <v>133.4</v>
      </c>
      <c r="U113" s="88" t="s">
        <v>32</v>
      </c>
      <c r="V113" s="88">
        <v>127.5</v>
      </c>
      <c r="W113" s="88">
        <v>127.1</v>
      </c>
      <c r="X113" s="88">
        <v>124.3</v>
      </c>
      <c r="Y113" s="88">
        <v>113.9</v>
      </c>
      <c r="Z113" s="88">
        <v>122.3</v>
      </c>
      <c r="AA113" s="88">
        <v>127.1</v>
      </c>
      <c r="AB113" s="88">
        <v>116.8</v>
      </c>
      <c r="AC113" s="88">
        <v>120.9</v>
      </c>
      <c r="AD113" s="88">
        <v>127.9</v>
      </c>
      <c r="AE113" s="88">
        <f t="shared" si="10"/>
        <v>1682.6</v>
      </c>
      <c r="AF113" s="88">
        <f t="shared" si="11"/>
        <v>134.4</v>
      </c>
      <c r="AG113" s="88">
        <f t="shared" si="12"/>
        <v>397.1</v>
      </c>
      <c r="AH113" s="88">
        <f t="shared" si="13"/>
        <v>254.6</v>
      </c>
      <c r="AI113" s="88">
        <f t="shared" si="14"/>
        <v>368.2</v>
      </c>
      <c r="AJ113" s="88">
        <f t="shared" si="15"/>
        <v>113.9</v>
      </c>
      <c r="AK113" s="88">
        <f t="shared" si="16"/>
        <v>122.3</v>
      </c>
      <c r="AL113" s="88">
        <f t="shared" si="17"/>
        <v>120.9</v>
      </c>
      <c r="AM113" s="89"/>
    </row>
    <row r="114" spans="1:39" x14ac:dyDescent="0.3">
      <c r="A114" s="84" t="s">
        <v>33</v>
      </c>
      <c r="B114" s="85">
        <v>2016</v>
      </c>
      <c r="C114" s="85" t="s">
        <v>35</v>
      </c>
      <c r="D114" s="85">
        <v>124.8</v>
      </c>
      <c r="E114" s="85">
        <v>135.1</v>
      </c>
      <c r="F114" s="85">
        <v>130.30000000000001</v>
      </c>
      <c r="G114" s="85">
        <v>129.6</v>
      </c>
      <c r="H114" s="85">
        <v>108.4</v>
      </c>
      <c r="I114" s="85">
        <v>118.6</v>
      </c>
      <c r="J114" s="85">
        <v>129.19999999999999</v>
      </c>
      <c r="K114" s="85">
        <v>176.4</v>
      </c>
      <c r="L114" s="85">
        <v>99.1</v>
      </c>
      <c r="M114" s="85">
        <v>139.69999999999999</v>
      </c>
      <c r="N114" s="85">
        <v>120.6</v>
      </c>
      <c r="O114" s="85">
        <v>135.19999999999999</v>
      </c>
      <c r="P114" s="85">
        <v>129.1</v>
      </c>
      <c r="Q114" s="85">
        <v>140</v>
      </c>
      <c r="R114" s="85">
        <v>126.2</v>
      </c>
      <c r="S114" s="85">
        <v>120.1</v>
      </c>
      <c r="T114" s="85">
        <v>125.3</v>
      </c>
      <c r="U114" s="85">
        <v>124.4</v>
      </c>
      <c r="V114" s="85">
        <v>116</v>
      </c>
      <c r="W114" s="85">
        <v>121.8</v>
      </c>
      <c r="X114" s="85">
        <v>119.5</v>
      </c>
      <c r="Y114" s="85">
        <v>109.1</v>
      </c>
      <c r="Z114" s="85">
        <v>118.8</v>
      </c>
      <c r="AA114" s="85">
        <v>126.3</v>
      </c>
      <c r="AB114" s="85">
        <v>116.2</v>
      </c>
      <c r="AC114" s="85">
        <v>117.2</v>
      </c>
      <c r="AD114" s="85">
        <v>123.8</v>
      </c>
      <c r="AE114" s="85">
        <f t="shared" si="10"/>
        <v>1676.1</v>
      </c>
      <c r="AF114" s="85">
        <f t="shared" si="11"/>
        <v>140</v>
      </c>
      <c r="AG114" s="85">
        <f t="shared" si="12"/>
        <v>371.6</v>
      </c>
      <c r="AH114" s="85">
        <f t="shared" si="13"/>
        <v>362.2</v>
      </c>
      <c r="AI114" s="85">
        <f t="shared" si="14"/>
        <v>362</v>
      </c>
      <c r="AJ114" s="85">
        <f t="shared" si="15"/>
        <v>109.1</v>
      </c>
      <c r="AK114" s="85">
        <f t="shared" si="16"/>
        <v>118.8</v>
      </c>
      <c r="AL114" s="85">
        <f t="shared" si="17"/>
        <v>117.2</v>
      </c>
      <c r="AM114" s="86"/>
    </row>
    <row r="115" spans="1:39" x14ac:dyDescent="0.3">
      <c r="A115" s="87" t="s">
        <v>34</v>
      </c>
      <c r="B115" s="88">
        <v>2016</v>
      </c>
      <c r="C115" s="88" t="s">
        <v>35</v>
      </c>
      <c r="D115" s="88">
        <v>126.4</v>
      </c>
      <c r="E115" s="88">
        <v>134.19999999999999</v>
      </c>
      <c r="F115" s="88">
        <v>128.69999999999999</v>
      </c>
      <c r="G115" s="88">
        <v>130.30000000000001</v>
      </c>
      <c r="H115" s="88">
        <v>114.8</v>
      </c>
      <c r="I115" s="88">
        <v>124.9</v>
      </c>
      <c r="J115" s="88">
        <v>130.30000000000001</v>
      </c>
      <c r="K115" s="88">
        <v>167.4</v>
      </c>
      <c r="L115" s="88">
        <v>98.8</v>
      </c>
      <c r="M115" s="88">
        <v>133.6</v>
      </c>
      <c r="N115" s="88">
        <v>123</v>
      </c>
      <c r="O115" s="88">
        <v>135.80000000000001</v>
      </c>
      <c r="P115" s="88">
        <v>129.9</v>
      </c>
      <c r="Q115" s="88">
        <v>135.9</v>
      </c>
      <c r="R115" s="88">
        <v>130.9</v>
      </c>
      <c r="S115" s="88">
        <v>125.8</v>
      </c>
      <c r="T115" s="88">
        <v>130.19999999999999</v>
      </c>
      <c r="U115" s="88">
        <v>124.4</v>
      </c>
      <c r="V115" s="88">
        <v>123.1</v>
      </c>
      <c r="W115" s="88">
        <v>124.6</v>
      </c>
      <c r="X115" s="88">
        <v>122.5</v>
      </c>
      <c r="Y115" s="88">
        <v>111.4</v>
      </c>
      <c r="Z115" s="88">
        <v>120.3</v>
      </c>
      <c r="AA115" s="88">
        <v>126.6</v>
      </c>
      <c r="AB115" s="88">
        <v>116.6</v>
      </c>
      <c r="AC115" s="88">
        <v>119.1</v>
      </c>
      <c r="AD115" s="88">
        <v>126</v>
      </c>
      <c r="AE115" s="88">
        <f t="shared" si="10"/>
        <v>1678.1</v>
      </c>
      <c r="AF115" s="88">
        <f t="shared" si="11"/>
        <v>135.9</v>
      </c>
      <c r="AG115" s="88">
        <f t="shared" si="12"/>
        <v>386.9</v>
      </c>
      <c r="AH115" s="88">
        <f t="shared" si="13"/>
        <v>372.1</v>
      </c>
      <c r="AI115" s="88">
        <f t="shared" si="14"/>
        <v>365.7</v>
      </c>
      <c r="AJ115" s="88">
        <f t="shared" si="15"/>
        <v>111.4</v>
      </c>
      <c r="AK115" s="88">
        <f t="shared" si="16"/>
        <v>120.3</v>
      </c>
      <c r="AL115" s="88">
        <f t="shared" si="17"/>
        <v>119.1</v>
      </c>
      <c r="AM115" s="89"/>
    </row>
    <row r="116" spans="1:39" x14ac:dyDescent="0.3">
      <c r="A116" s="84" t="s">
        <v>30</v>
      </c>
      <c r="B116" s="85">
        <v>2016</v>
      </c>
      <c r="C116" s="85" t="s">
        <v>36</v>
      </c>
      <c r="D116" s="85">
        <v>127.3</v>
      </c>
      <c r="E116" s="85">
        <v>134.4</v>
      </c>
      <c r="F116" s="85">
        <v>125.1</v>
      </c>
      <c r="G116" s="85">
        <v>130.5</v>
      </c>
      <c r="H116" s="85">
        <v>118.3</v>
      </c>
      <c r="I116" s="85">
        <v>131.69999999999999</v>
      </c>
      <c r="J116" s="85">
        <v>130.69999999999999</v>
      </c>
      <c r="K116" s="85">
        <v>161.19999999999999</v>
      </c>
      <c r="L116" s="85">
        <v>100.4</v>
      </c>
      <c r="M116" s="85">
        <v>130.80000000000001</v>
      </c>
      <c r="N116" s="85">
        <v>124.9</v>
      </c>
      <c r="O116" s="85">
        <v>137</v>
      </c>
      <c r="P116" s="85">
        <v>130.4</v>
      </c>
      <c r="Q116" s="85">
        <v>135</v>
      </c>
      <c r="R116" s="85">
        <v>134.4</v>
      </c>
      <c r="S116" s="85">
        <v>130.19999999999999</v>
      </c>
      <c r="T116" s="85">
        <v>133.80000000000001</v>
      </c>
      <c r="U116" s="85" t="s">
        <v>32</v>
      </c>
      <c r="V116" s="85">
        <v>127</v>
      </c>
      <c r="W116" s="85">
        <v>127.7</v>
      </c>
      <c r="X116" s="85">
        <v>124.8</v>
      </c>
      <c r="Y116" s="85">
        <v>113.6</v>
      </c>
      <c r="Z116" s="85">
        <v>122.5</v>
      </c>
      <c r="AA116" s="85">
        <v>127.5</v>
      </c>
      <c r="AB116" s="85">
        <v>117.4</v>
      </c>
      <c r="AC116" s="85">
        <v>121.1</v>
      </c>
      <c r="AD116" s="85">
        <v>128</v>
      </c>
      <c r="AE116" s="85">
        <f t="shared" si="10"/>
        <v>1682.7000000000003</v>
      </c>
      <c r="AF116" s="85">
        <f t="shared" si="11"/>
        <v>135</v>
      </c>
      <c r="AG116" s="85">
        <f t="shared" si="12"/>
        <v>398.40000000000003</v>
      </c>
      <c r="AH116" s="85">
        <f t="shared" si="13"/>
        <v>254.7</v>
      </c>
      <c r="AI116" s="85">
        <f t="shared" si="14"/>
        <v>369.70000000000005</v>
      </c>
      <c r="AJ116" s="85">
        <f t="shared" si="15"/>
        <v>113.6</v>
      </c>
      <c r="AK116" s="85">
        <f t="shared" si="16"/>
        <v>122.5</v>
      </c>
      <c r="AL116" s="85">
        <f t="shared" si="17"/>
        <v>121.1</v>
      </c>
      <c r="AM116" s="86"/>
    </row>
    <row r="117" spans="1:39" x14ac:dyDescent="0.3">
      <c r="A117" s="87" t="s">
        <v>33</v>
      </c>
      <c r="B117" s="88">
        <v>2016</v>
      </c>
      <c r="C117" s="88" t="s">
        <v>36</v>
      </c>
      <c r="D117" s="88">
        <v>124.8</v>
      </c>
      <c r="E117" s="88">
        <v>136.30000000000001</v>
      </c>
      <c r="F117" s="88">
        <v>123.7</v>
      </c>
      <c r="G117" s="88">
        <v>129.69999999999999</v>
      </c>
      <c r="H117" s="88">
        <v>107.9</v>
      </c>
      <c r="I117" s="88">
        <v>119.9</v>
      </c>
      <c r="J117" s="88">
        <v>128.1</v>
      </c>
      <c r="K117" s="88">
        <v>170.3</v>
      </c>
      <c r="L117" s="88">
        <v>101.8</v>
      </c>
      <c r="M117" s="88">
        <v>140.1</v>
      </c>
      <c r="N117" s="88">
        <v>120.7</v>
      </c>
      <c r="O117" s="88">
        <v>135.4</v>
      </c>
      <c r="P117" s="88">
        <v>128.9</v>
      </c>
      <c r="Q117" s="88">
        <v>140.6</v>
      </c>
      <c r="R117" s="88">
        <v>126.4</v>
      </c>
      <c r="S117" s="88">
        <v>120.3</v>
      </c>
      <c r="T117" s="88">
        <v>125.5</v>
      </c>
      <c r="U117" s="88">
        <v>124.9</v>
      </c>
      <c r="V117" s="88">
        <v>114.8</v>
      </c>
      <c r="W117" s="88">
        <v>122.3</v>
      </c>
      <c r="X117" s="88">
        <v>119.7</v>
      </c>
      <c r="Y117" s="88">
        <v>108.5</v>
      </c>
      <c r="Z117" s="88">
        <v>119.1</v>
      </c>
      <c r="AA117" s="88">
        <v>126.4</v>
      </c>
      <c r="AB117" s="88">
        <v>117.1</v>
      </c>
      <c r="AC117" s="88">
        <v>117.3</v>
      </c>
      <c r="AD117" s="88">
        <v>123.8</v>
      </c>
      <c r="AE117" s="88">
        <f t="shared" si="10"/>
        <v>1667.6000000000001</v>
      </c>
      <c r="AF117" s="88">
        <f t="shared" si="11"/>
        <v>140.6</v>
      </c>
      <c r="AG117" s="88">
        <f t="shared" si="12"/>
        <v>372.2</v>
      </c>
      <c r="AH117" s="88">
        <f t="shared" si="13"/>
        <v>362</v>
      </c>
      <c r="AI117" s="88">
        <f t="shared" si="14"/>
        <v>363.20000000000005</v>
      </c>
      <c r="AJ117" s="88">
        <f t="shared" si="15"/>
        <v>108.5</v>
      </c>
      <c r="AK117" s="88">
        <f t="shared" si="16"/>
        <v>119.1</v>
      </c>
      <c r="AL117" s="88">
        <f t="shared" si="17"/>
        <v>117.3</v>
      </c>
      <c r="AM117" s="89"/>
    </row>
    <row r="118" spans="1:39" x14ac:dyDescent="0.3">
      <c r="A118" s="84" t="s">
        <v>34</v>
      </c>
      <c r="B118" s="85">
        <v>2016</v>
      </c>
      <c r="C118" s="85" t="s">
        <v>36</v>
      </c>
      <c r="D118" s="85">
        <v>126.5</v>
      </c>
      <c r="E118" s="85">
        <v>135.1</v>
      </c>
      <c r="F118" s="85">
        <v>124.6</v>
      </c>
      <c r="G118" s="85">
        <v>130.19999999999999</v>
      </c>
      <c r="H118" s="85">
        <v>114.5</v>
      </c>
      <c r="I118" s="85">
        <v>126.2</v>
      </c>
      <c r="J118" s="85">
        <v>129.80000000000001</v>
      </c>
      <c r="K118" s="85">
        <v>164.3</v>
      </c>
      <c r="L118" s="85">
        <v>100.9</v>
      </c>
      <c r="M118" s="85">
        <v>133.9</v>
      </c>
      <c r="N118" s="85">
        <v>123.1</v>
      </c>
      <c r="O118" s="85">
        <v>136.30000000000001</v>
      </c>
      <c r="P118" s="85">
        <v>129.80000000000001</v>
      </c>
      <c r="Q118" s="85">
        <v>136.5</v>
      </c>
      <c r="R118" s="85">
        <v>131.30000000000001</v>
      </c>
      <c r="S118" s="85">
        <v>126.1</v>
      </c>
      <c r="T118" s="85">
        <v>130.5</v>
      </c>
      <c r="U118" s="85">
        <v>124.9</v>
      </c>
      <c r="V118" s="85">
        <v>122.4</v>
      </c>
      <c r="W118" s="85">
        <v>125.1</v>
      </c>
      <c r="X118" s="85">
        <v>122.9</v>
      </c>
      <c r="Y118" s="85">
        <v>110.9</v>
      </c>
      <c r="Z118" s="85">
        <v>120.6</v>
      </c>
      <c r="AA118" s="85">
        <v>126.9</v>
      </c>
      <c r="AB118" s="85">
        <v>117.3</v>
      </c>
      <c r="AC118" s="85">
        <v>119.3</v>
      </c>
      <c r="AD118" s="85">
        <v>126</v>
      </c>
      <c r="AE118" s="85">
        <f t="shared" si="10"/>
        <v>1675.2</v>
      </c>
      <c r="AF118" s="85">
        <f t="shared" si="11"/>
        <v>136.5</v>
      </c>
      <c r="AG118" s="85">
        <f t="shared" si="12"/>
        <v>387.9</v>
      </c>
      <c r="AH118" s="85">
        <f t="shared" si="13"/>
        <v>372.4</v>
      </c>
      <c r="AI118" s="85">
        <f t="shared" si="14"/>
        <v>367.1</v>
      </c>
      <c r="AJ118" s="85">
        <f t="shared" si="15"/>
        <v>110.9</v>
      </c>
      <c r="AK118" s="85">
        <f t="shared" si="16"/>
        <v>120.6</v>
      </c>
      <c r="AL118" s="85">
        <f t="shared" si="17"/>
        <v>119.3</v>
      </c>
      <c r="AM118" s="86"/>
    </row>
    <row r="119" spans="1:39" x14ac:dyDescent="0.3">
      <c r="A119" s="87" t="s">
        <v>30</v>
      </c>
      <c r="B119" s="88">
        <v>2016</v>
      </c>
      <c r="C119" s="88" t="s">
        <v>37</v>
      </c>
      <c r="D119" s="88">
        <v>127.4</v>
      </c>
      <c r="E119" s="88">
        <v>135.4</v>
      </c>
      <c r="F119" s="88">
        <v>123.4</v>
      </c>
      <c r="G119" s="88">
        <v>131.30000000000001</v>
      </c>
      <c r="H119" s="88">
        <v>118.2</v>
      </c>
      <c r="I119" s="88">
        <v>138.1</v>
      </c>
      <c r="J119" s="88">
        <v>134.1</v>
      </c>
      <c r="K119" s="88">
        <v>162.69999999999999</v>
      </c>
      <c r="L119" s="88">
        <v>105</v>
      </c>
      <c r="M119" s="88">
        <v>131.4</v>
      </c>
      <c r="N119" s="88">
        <v>125.4</v>
      </c>
      <c r="O119" s="88">
        <v>137.4</v>
      </c>
      <c r="P119" s="88">
        <v>131.80000000000001</v>
      </c>
      <c r="Q119" s="88">
        <v>135.5</v>
      </c>
      <c r="R119" s="88">
        <v>135</v>
      </c>
      <c r="S119" s="88">
        <v>130.6</v>
      </c>
      <c r="T119" s="88">
        <v>134.4</v>
      </c>
      <c r="U119" s="88" t="s">
        <v>32</v>
      </c>
      <c r="V119" s="88">
        <v>127</v>
      </c>
      <c r="W119" s="88">
        <v>128</v>
      </c>
      <c r="X119" s="88">
        <v>125.2</v>
      </c>
      <c r="Y119" s="88">
        <v>114.4</v>
      </c>
      <c r="Z119" s="88">
        <v>123.2</v>
      </c>
      <c r="AA119" s="88">
        <v>127.9</v>
      </c>
      <c r="AB119" s="88">
        <v>118.4</v>
      </c>
      <c r="AC119" s="88">
        <v>121.7</v>
      </c>
      <c r="AD119" s="88">
        <v>129</v>
      </c>
      <c r="AE119" s="88">
        <f t="shared" si="10"/>
        <v>1701.6000000000004</v>
      </c>
      <c r="AF119" s="88">
        <f t="shared" si="11"/>
        <v>135.5</v>
      </c>
      <c r="AG119" s="88">
        <f t="shared" si="12"/>
        <v>400</v>
      </c>
      <c r="AH119" s="88">
        <f t="shared" si="13"/>
        <v>255</v>
      </c>
      <c r="AI119" s="88">
        <f t="shared" si="14"/>
        <v>371.5</v>
      </c>
      <c r="AJ119" s="88">
        <f t="shared" si="15"/>
        <v>114.4</v>
      </c>
      <c r="AK119" s="88">
        <f t="shared" si="16"/>
        <v>123.2</v>
      </c>
      <c r="AL119" s="88">
        <f t="shared" si="17"/>
        <v>121.7</v>
      </c>
      <c r="AM119" s="89"/>
    </row>
    <row r="120" spans="1:39" x14ac:dyDescent="0.3">
      <c r="A120" s="84" t="s">
        <v>33</v>
      </c>
      <c r="B120" s="85">
        <v>2016</v>
      </c>
      <c r="C120" s="85" t="s">
        <v>37</v>
      </c>
      <c r="D120" s="85">
        <v>124.9</v>
      </c>
      <c r="E120" s="85">
        <v>139.30000000000001</v>
      </c>
      <c r="F120" s="85">
        <v>119.9</v>
      </c>
      <c r="G120" s="85">
        <v>130.19999999999999</v>
      </c>
      <c r="H120" s="85">
        <v>108.9</v>
      </c>
      <c r="I120" s="85">
        <v>131.1</v>
      </c>
      <c r="J120" s="85">
        <v>136.80000000000001</v>
      </c>
      <c r="K120" s="85">
        <v>176.9</v>
      </c>
      <c r="L120" s="85">
        <v>109.1</v>
      </c>
      <c r="M120" s="85">
        <v>140.4</v>
      </c>
      <c r="N120" s="85">
        <v>121.1</v>
      </c>
      <c r="O120" s="85">
        <v>135.9</v>
      </c>
      <c r="P120" s="85">
        <v>131.80000000000001</v>
      </c>
      <c r="Q120" s="85">
        <v>141.5</v>
      </c>
      <c r="R120" s="85">
        <v>126.8</v>
      </c>
      <c r="S120" s="85">
        <v>120.5</v>
      </c>
      <c r="T120" s="85">
        <v>125.8</v>
      </c>
      <c r="U120" s="85">
        <v>125.6</v>
      </c>
      <c r="V120" s="85">
        <v>114.6</v>
      </c>
      <c r="W120" s="85">
        <v>122.8</v>
      </c>
      <c r="X120" s="85">
        <v>120</v>
      </c>
      <c r="Y120" s="85">
        <v>110</v>
      </c>
      <c r="Z120" s="85">
        <v>119.5</v>
      </c>
      <c r="AA120" s="85">
        <v>127.6</v>
      </c>
      <c r="AB120" s="85">
        <v>117.6</v>
      </c>
      <c r="AC120" s="85">
        <v>118.2</v>
      </c>
      <c r="AD120" s="85">
        <v>125.3</v>
      </c>
      <c r="AE120" s="85">
        <f t="shared" si="10"/>
        <v>1706.3</v>
      </c>
      <c r="AF120" s="85">
        <f t="shared" si="11"/>
        <v>141.5</v>
      </c>
      <c r="AG120" s="85">
        <f t="shared" si="12"/>
        <v>373.1</v>
      </c>
      <c r="AH120" s="85">
        <f t="shared" si="13"/>
        <v>363</v>
      </c>
      <c r="AI120" s="85">
        <f t="shared" si="14"/>
        <v>365.2</v>
      </c>
      <c r="AJ120" s="85">
        <f t="shared" si="15"/>
        <v>110</v>
      </c>
      <c r="AK120" s="85">
        <f t="shared" si="16"/>
        <v>119.5</v>
      </c>
      <c r="AL120" s="85">
        <f t="shared" si="17"/>
        <v>118.2</v>
      </c>
      <c r="AM120" s="86"/>
    </row>
    <row r="121" spans="1:39" x14ac:dyDescent="0.3">
      <c r="A121" s="87" t="s">
        <v>34</v>
      </c>
      <c r="B121" s="88">
        <v>2016</v>
      </c>
      <c r="C121" s="88" t="s">
        <v>37</v>
      </c>
      <c r="D121" s="88">
        <v>126.6</v>
      </c>
      <c r="E121" s="88">
        <v>136.80000000000001</v>
      </c>
      <c r="F121" s="88">
        <v>122</v>
      </c>
      <c r="G121" s="88">
        <v>130.9</v>
      </c>
      <c r="H121" s="88">
        <v>114.8</v>
      </c>
      <c r="I121" s="88">
        <v>134.80000000000001</v>
      </c>
      <c r="J121" s="88">
        <v>135</v>
      </c>
      <c r="K121" s="88">
        <v>167.5</v>
      </c>
      <c r="L121" s="88">
        <v>106.4</v>
      </c>
      <c r="M121" s="88">
        <v>134.4</v>
      </c>
      <c r="N121" s="88">
        <v>123.6</v>
      </c>
      <c r="O121" s="88">
        <v>136.69999999999999</v>
      </c>
      <c r="P121" s="88">
        <v>131.80000000000001</v>
      </c>
      <c r="Q121" s="88">
        <v>137.1</v>
      </c>
      <c r="R121" s="88">
        <v>131.80000000000001</v>
      </c>
      <c r="S121" s="88">
        <v>126.4</v>
      </c>
      <c r="T121" s="88">
        <v>131</v>
      </c>
      <c r="U121" s="88">
        <v>125.6</v>
      </c>
      <c r="V121" s="88">
        <v>122.3</v>
      </c>
      <c r="W121" s="88">
        <v>125.5</v>
      </c>
      <c r="X121" s="88">
        <v>123.2</v>
      </c>
      <c r="Y121" s="88">
        <v>112.1</v>
      </c>
      <c r="Z121" s="88">
        <v>121.1</v>
      </c>
      <c r="AA121" s="88">
        <v>127.7</v>
      </c>
      <c r="AB121" s="88">
        <v>118.1</v>
      </c>
      <c r="AC121" s="88">
        <v>120</v>
      </c>
      <c r="AD121" s="88">
        <v>127.3</v>
      </c>
      <c r="AE121" s="88">
        <f t="shared" si="10"/>
        <v>1701.3</v>
      </c>
      <c r="AF121" s="88">
        <f t="shared" si="11"/>
        <v>137.1</v>
      </c>
      <c r="AG121" s="88">
        <f t="shared" si="12"/>
        <v>389.20000000000005</v>
      </c>
      <c r="AH121" s="88">
        <f t="shared" si="13"/>
        <v>373.4</v>
      </c>
      <c r="AI121" s="88">
        <f t="shared" si="14"/>
        <v>369</v>
      </c>
      <c r="AJ121" s="88">
        <f t="shared" si="15"/>
        <v>112.1</v>
      </c>
      <c r="AK121" s="88">
        <f t="shared" si="16"/>
        <v>121.1</v>
      </c>
      <c r="AL121" s="88">
        <f t="shared" si="17"/>
        <v>120</v>
      </c>
      <c r="AM121" s="89"/>
    </row>
    <row r="122" spans="1:39" x14ac:dyDescent="0.3">
      <c r="A122" s="84" t="s">
        <v>30</v>
      </c>
      <c r="B122" s="85">
        <v>2016</v>
      </c>
      <c r="C122" s="85" t="s">
        <v>38</v>
      </c>
      <c r="D122" s="85">
        <v>127.6</v>
      </c>
      <c r="E122" s="85">
        <v>137.5</v>
      </c>
      <c r="F122" s="85">
        <v>124.4</v>
      </c>
      <c r="G122" s="85">
        <v>132.4</v>
      </c>
      <c r="H122" s="85">
        <v>118.2</v>
      </c>
      <c r="I122" s="85">
        <v>138.1</v>
      </c>
      <c r="J122" s="85">
        <v>141.80000000000001</v>
      </c>
      <c r="K122" s="85">
        <v>166</v>
      </c>
      <c r="L122" s="85">
        <v>107.5</v>
      </c>
      <c r="M122" s="85">
        <v>132.19999999999999</v>
      </c>
      <c r="N122" s="85">
        <v>126.1</v>
      </c>
      <c r="O122" s="85">
        <v>138.30000000000001</v>
      </c>
      <c r="P122" s="85">
        <v>133.6</v>
      </c>
      <c r="Q122" s="85">
        <v>136</v>
      </c>
      <c r="R122" s="85">
        <v>135.4</v>
      </c>
      <c r="S122" s="85">
        <v>131.1</v>
      </c>
      <c r="T122" s="85">
        <v>134.80000000000001</v>
      </c>
      <c r="U122" s="85" t="s">
        <v>32</v>
      </c>
      <c r="V122" s="85">
        <v>127.4</v>
      </c>
      <c r="W122" s="85">
        <v>128.5</v>
      </c>
      <c r="X122" s="85">
        <v>125.8</v>
      </c>
      <c r="Y122" s="85">
        <v>115.1</v>
      </c>
      <c r="Z122" s="85">
        <v>123.6</v>
      </c>
      <c r="AA122" s="85">
        <v>129.1</v>
      </c>
      <c r="AB122" s="85">
        <v>119.7</v>
      </c>
      <c r="AC122" s="85">
        <v>122.5</v>
      </c>
      <c r="AD122" s="85">
        <v>130.30000000000001</v>
      </c>
      <c r="AE122" s="85">
        <f t="shared" si="10"/>
        <v>1723.6999999999998</v>
      </c>
      <c r="AF122" s="85">
        <f t="shared" si="11"/>
        <v>136</v>
      </c>
      <c r="AG122" s="85">
        <f t="shared" si="12"/>
        <v>401.3</v>
      </c>
      <c r="AH122" s="85">
        <f t="shared" si="13"/>
        <v>255.9</v>
      </c>
      <c r="AI122" s="85">
        <f t="shared" si="14"/>
        <v>374.59999999999997</v>
      </c>
      <c r="AJ122" s="85">
        <f t="shared" si="15"/>
        <v>115.1</v>
      </c>
      <c r="AK122" s="85">
        <f t="shared" si="16"/>
        <v>123.6</v>
      </c>
      <c r="AL122" s="85">
        <f t="shared" si="17"/>
        <v>122.5</v>
      </c>
      <c r="AM122" s="86"/>
    </row>
    <row r="123" spans="1:39" x14ac:dyDescent="0.3">
      <c r="A123" s="87" t="s">
        <v>33</v>
      </c>
      <c r="B123" s="88">
        <v>2016</v>
      </c>
      <c r="C123" s="88" t="s">
        <v>38</v>
      </c>
      <c r="D123" s="88">
        <v>125</v>
      </c>
      <c r="E123" s="88">
        <v>142.1</v>
      </c>
      <c r="F123" s="88">
        <v>127</v>
      </c>
      <c r="G123" s="88">
        <v>130.4</v>
      </c>
      <c r="H123" s="88">
        <v>109.6</v>
      </c>
      <c r="I123" s="88">
        <v>133.5</v>
      </c>
      <c r="J123" s="88">
        <v>151.4</v>
      </c>
      <c r="K123" s="88">
        <v>182.8</v>
      </c>
      <c r="L123" s="88">
        <v>111.1</v>
      </c>
      <c r="M123" s="88">
        <v>141.5</v>
      </c>
      <c r="N123" s="88">
        <v>121.5</v>
      </c>
      <c r="O123" s="88">
        <v>136.30000000000001</v>
      </c>
      <c r="P123" s="88">
        <v>134.6</v>
      </c>
      <c r="Q123" s="88">
        <v>142.19999999999999</v>
      </c>
      <c r="R123" s="88">
        <v>127.2</v>
      </c>
      <c r="S123" s="88">
        <v>120.7</v>
      </c>
      <c r="T123" s="88">
        <v>126.2</v>
      </c>
      <c r="U123" s="88">
        <v>126</v>
      </c>
      <c r="V123" s="88">
        <v>115</v>
      </c>
      <c r="W123" s="88">
        <v>123.2</v>
      </c>
      <c r="X123" s="88">
        <v>120.3</v>
      </c>
      <c r="Y123" s="88">
        <v>110.7</v>
      </c>
      <c r="Z123" s="88">
        <v>119.8</v>
      </c>
      <c r="AA123" s="88">
        <v>128</v>
      </c>
      <c r="AB123" s="88">
        <v>118.5</v>
      </c>
      <c r="AC123" s="88">
        <v>118.7</v>
      </c>
      <c r="AD123" s="88">
        <v>126.6</v>
      </c>
      <c r="AE123" s="88">
        <f t="shared" si="10"/>
        <v>1746.7999999999997</v>
      </c>
      <c r="AF123" s="88">
        <f t="shared" si="11"/>
        <v>142.19999999999999</v>
      </c>
      <c r="AG123" s="88">
        <f t="shared" si="12"/>
        <v>374.1</v>
      </c>
      <c r="AH123" s="88">
        <f t="shared" si="13"/>
        <v>364.2</v>
      </c>
      <c r="AI123" s="88">
        <f t="shared" si="14"/>
        <v>366.8</v>
      </c>
      <c r="AJ123" s="88">
        <f t="shared" si="15"/>
        <v>110.7</v>
      </c>
      <c r="AK123" s="88">
        <f t="shared" si="16"/>
        <v>119.8</v>
      </c>
      <c r="AL123" s="88">
        <f t="shared" si="17"/>
        <v>118.7</v>
      </c>
      <c r="AM123" s="89"/>
    </row>
    <row r="124" spans="1:39" x14ac:dyDescent="0.3">
      <c r="A124" s="84" t="s">
        <v>34</v>
      </c>
      <c r="B124" s="85">
        <v>2016</v>
      </c>
      <c r="C124" s="85" t="s">
        <v>38</v>
      </c>
      <c r="D124" s="85">
        <v>126.8</v>
      </c>
      <c r="E124" s="85">
        <v>139.1</v>
      </c>
      <c r="F124" s="85">
        <v>125.4</v>
      </c>
      <c r="G124" s="85">
        <v>131.69999999999999</v>
      </c>
      <c r="H124" s="85">
        <v>115</v>
      </c>
      <c r="I124" s="85">
        <v>136</v>
      </c>
      <c r="J124" s="85">
        <v>145.1</v>
      </c>
      <c r="K124" s="85">
        <v>171.7</v>
      </c>
      <c r="L124" s="85">
        <v>108.7</v>
      </c>
      <c r="M124" s="85">
        <v>135.30000000000001</v>
      </c>
      <c r="N124" s="85">
        <v>124.2</v>
      </c>
      <c r="O124" s="85">
        <v>137.4</v>
      </c>
      <c r="P124" s="85">
        <v>134</v>
      </c>
      <c r="Q124" s="85">
        <v>137.69999999999999</v>
      </c>
      <c r="R124" s="85">
        <v>132.19999999999999</v>
      </c>
      <c r="S124" s="85">
        <v>126.8</v>
      </c>
      <c r="T124" s="85">
        <v>131.4</v>
      </c>
      <c r="U124" s="85">
        <v>126</v>
      </c>
      <c r="V124" s="85">
        <v>122.7</v>
      </c>
      <c r="W124" s="85">
        <v>126</v>
      </c>
      <c r="X124" s="85">
        <v>123.7</v>
      </c>
      <c r="Y124" s="85">
        <v>112.8</v>
      </c>
      <c r="Z124" s="85">
        <v>121.5</v>
      </c>
      <c r="AA124" s="85">
        <v>128.5</v>
      </c>
      <c r="AB124" s="85">
        <v>119.2</v>
      </c>
      <c r="AC124" s="85">
        <v>120.7</v>
      </c>
      <c r="AD124" s="85">
        <v>128.6</v>
      </c>
      <c r="AE124" s="85">
        <f t="shared" si="10"/>
        <v>1730.4</v>
      </c>
      <c r="AF124" s="85">
        <f t="shared" si="11"/>
        <v>137.69999999999999</v>
      </c>
      <c r="AG124" s="85">
        <f t="shared" si="12"/>
        <v>390.4</v>
      </c>
      <c r="AH124" s="85">
        <f t="shared" si="13"/>
        <v>374.7</v>
      </c>
      <c r="AI124" s="85">
        <f t="shared" si="14"/>
        <v>371.4</v>
      </c>
      <c r="AJ124" s="85">
        <f t="shared" si="15"/>
        <v>112.8</v>
      </c>
      <c r="AK124" s="85">
        <f t="shared" si="16"/>
        <v>121.5</v>
      </c>
      <c r="AL124" s="85">
        <f t="shared" si="17"/>
        <v>120.7</v>
      </c>
      <c r="AM124" s="86"/>
    </row>
    <row r="125" spans="1:39" x14ac:dyDescent="0.3">
      <c r="A125" s="87" t="s">
        <v>30</v>
      </c>
      <c r="B125" s="88">
        <v>2016</v>
      </c>
      <c r="C125" s="88" t="s">
        <v>39</v>
      </c>
      <c r="D125" s="88">
        <v>128.6</v>
      </c>
      <c r="E125" s="88">
        <v>138.6</v>
      </c>
      <c r="F125" s="88">
        <v>126.6</v>
      </c>
      <c r="G125" s="88">
        <v>133.6</v>
      </c>
      <c r="H125" s="88">
        <v>118.6</v>
      </c>
      <c r="I125" s="88">
        <v>137.4</v>
      </c>
      <c r="J125" s="88">
        <v>152.5</v>
      </c>
      <c r="K125" s="88">
        <v>169.2</v>
      </c>
      <c r="L125" s="88">
        <v>108.8</v>
      </c>
      <c r="M125" s="88">
        <v>133.1</v>
      </c>
      <c r="N125" s="88">
        <v>126.4</v>
      </c>
      <c r="O125" s="88">
        <v>139.19999999999999</v>
      </c>
      <c r="P125" s="88">
        <v>136</v>
      </c>
      <c r="Q125" s="88">
        <v>137.19999999999999</v>
      </c>
      <c r="R125" s="88">
        <v>136.30000000000001</v>
      </c>
      <c r="S125" s="88">
        <v>131.6</v>
      </c>
      <c r="T125" s="88">
        <v>135.6</v>
      </c>
      <c r="U125" s="88" t="s">
        <v>32</v>
      </c>
      <c r="V125" s="88">
        <v>128</v>
      </c>
      <c r="W125" s="88">
        <v>129.30000000000001</v>
      </c>
      <c r="X125" s="88">
        <v>126.2</v>
      </c>
      <c r="Y125" s="88">
        <v>116.3</v>
      </c>
      <c r="Z125" s="88">
        <v>124.1</v>
      </c>
      <c r="AA125" s="88">
        <v>130.19999999999999</v>
      </c>
      <c r="AB125" s="88">
        <v>119.9</v>
      </c>
      <c r="AC125" s="88">
        <v>123.3</v>
      </c>
      <c r="AD125" s="88">
        <v>131.9</v>
      </c>
      <c r="AE125" s="88">
        <f t="shared" si="10"/>
        <v>1748.6</v>
      </c>
      <c r="AF125" s="88">
        <f t="shared" si="11"/>
        <v>137.19999999999999</v>
      </c>
      <c r="AG125" s="88">
        <f t="shared" si="12"/>
        <v>403.5</v>
      </c>
      <c r="AH125" s="88">
        <f t="shared" si="13"/>
        <v>257.3</v>
      </c>
      <c r="AI125" s="88">
        <f t="shared" si="14"/>
        <v>376.29999999999995</v>
      </c>
      <c r="AJ125" s="88">
        <f t="shared" si="15"/>
        <v>116.3</v>
      </c>
      <c r="AK125" s="88">
        <f t="shared" si="16"/>
        <v>124.1</v>
      </c>
      <c r="AL125" s="88">
        <f t="shared" si="17"/>
        <v>123.3</v>
      </c>
      <c r="AM125" s="89"/>
    </row>
    <row r="126" spans="1:39" x14ac:dyDescent="0.3">
      <c r="A126" s="84" t="s">
        <v>33</v>
      </c>
      <c r="B126" s="85">
        <v>2016</v>
      </c>
      <c r="C126" s="85" t="s">
        <v>39</v>
      </c>
      <c r="D126" s="85">
        <v>125.9</v>
      </c>
      <c r="E126" s="85">
        <v>143.9</v>
      </c>
      <c r="F126" s="85">
        <v>130.9</v>
      </c>
      <c r="G126" s="85">
        <v>131</v>
      </c>
      <c r="H126" s="85">
        <v>110.2</v>
      </c>
      <c r="I126" s="85">
        <v>135.5</v>
      </c>
      <c r="J126" s="85">
        <v>173.7</v>
      </c>
      <c r="K126" s="85">
        <v>184.4</v>
      </c>
      <c r="L126" s="85">
        <v>112</v>
      </c>
      <c r="M126" s="85">
        <v>142.80000000000001</v>
      </c>
      <c r="N126" s="85">
        <v>121.6</v>
      </c>
      <c r="O126" s="85">
        <v>136.9</v>
      </c>
      <c r="P126" s="85">
        <v>138.19999999999999</v>
      </c>
      <c r="Q126" s="85">
        <v>142.69999999999999</v>
      </c>
      <c r="R126" s="85">
        <v>127.6</v>
      </c>
      <c r="S126" s="85">
        <v>121.1</v>
      </c>
      <c r="T126" s="85">
        <v>126.6</v>
      </c>
      <c r="U126" s="85">
        <v>125.5</v>
      </c>
      <c r="V126" s="85">
        <v>115.5</v>
      </c>
      <c r="W126" s="85">
        <v>123.2</v>
      </c>
      <c r="X126" s="85">
        <v>120.6</v>
      </c>
      <c r="Y126" s="85">
        <v>112.3</v>
      </c>
      <c r="Z126" s="85">
        <v>119.9</v>
      </c>
      <c r="AA126" s="85">
        <v>129.30000000000001</v>
      </c>
      <c r="AB126" s="85">
        <v>118.8</v>
      </c>
      <c r="AC126" s="85">
        <v>119.6</v>
      </c>
      <c r="AD126" s="85">
        <v>128.1</v>
      </c>
      <c r="AE126" s="85">
        <f t="shared" si="10"/>
        <v>1787.0000000000002</v>
      </c>
      <c r="AF126" s="85">
        <f t="shared" si="11"/>
        <v>142.69999999999999</v>
      </c>
      <c r="AG126" s="85">
        <f t="shared" si="12"/>
        <v>375.29999999999995</v>
      </c>
      <c r="AH126" s="85">
        <f t="shared" si="13"/>
        <v>364.2</v>
      </c>
      <c r="AI126" s="85">
        <f t="shared" si="14"/>
        <v>368.7</v>
      </c>
      <c r="AJ126" s="85">
        <f t="shared" si="15"/>
        <v>112.3</v>
      </c>
      <c r="AK126" s="85">
        <f t="shared" si="16"/>
        <v>119.9</v>
      </c>
      <c r="AL126" s="85">
        <f t="shared" si="17"/>
        <v>119.6</v>
      </c>
      <c r="AM126" s="86"/>
    </row>
    <row r="127" spans="1:39" x14ac:dyDescent="0.3">
      <c r="A127" s="87" t="s">
        <v>34</v>
      </c>
      <c r="B127" s="88">
        <v>2016</v>
      </c>
      <c r="C127" s="88" t="s">
        <v>39</v>
      </c>
      <c r="D127" s="88">
        <v>127.7</v>
      </c>
      <c r="E127" s="88">
        <v>140.5</v>
      </c>
      <c r="F127" s="88">
        <v>128.30000000000001</v>
      </c>
      <c r="G127" s="88">
        <v>132.6</v>
      </c>
      <c r="H127" s="88">
        <v>115.5</v>
      </c>
      <c r="I127" s="88">
        <v>136.5</v>
      </c>
      <c r="J127" s="88">
        <v>159.69999999999999</v>
      </c>
      <c r="K127" s="88">
        <v>174.3</v>
      </c>
      <c r="L127" s="88">
        <v>109.9</v>
      </c>
      <c r="M127" s="88">
        <v>136.30000000000001</v>
      </c>
      <c r="N127" s="88">
        <v>124.4</v>
      </c>
      <c r="O127" s="88">
        <v>138.1</v>
      </c>
      <c r="P127" s="88">
        <v>136.80000000000001</v>
      </c>
      <c r="Q127" s="88">
        <v>138.69999999999999</v>
      </c>
      <c r="R127" s="88">
        <v>132.9</v>
      </c>
      <c r="S127" s="88">
        <v>127.2</v>
      </c>
      <c r="T127" s="88">
        <v>132</v>
      </c>
      <c r="U127" s="88">
        <v>125.5</v>
      </c>
      <c r="V127" s="88">
        <v>123.3</v>
      </c>
      <c r="W127" s="88">
        <v>126.4</v>
      </c>
      <c r="X127" s="88">
        <v>124.1</v>
      </c>
      <c r="Y127" s="88">
        <v>114.2</v>
      </c>
      <c r="Z127" s="88">
        <v>121.7</v>
      </c>
      <c r="AA127" s="88">
        <v>129.69999999999999</v>
      </c>
      <c r="AB127" s="88">
        <v>119.4</v>
      </c>
      <c r="AC127" s="88">
        <v>121.5</v>
      </c>
      <c r="AD127" s="88">
        <v>130.1</v>
      </c>
      <c r="AE127" s="88">
        <f t="shared" si="10"/>
        <v>1760.6</v>
      </c>
      <c r="AF127" s="88">
        <f t="shared" si="11"/>
        <v>138.69999999999999</v>
      </c>
      <c r="AG127" s="88">
        <f t="shared" si="12"/>
        <v>392.1</v>
      </c>
      <c r="AH127" s="88">
        <f t="shared" si="13"/>
        <v>375.20000000000005</v>
      </c>
      <c r="AI127" s="88">
        <f t="shared" si="14"/>
        <v>373.2</v>
      </c>
      <c r="AJ127" s="88">
        <f t="shared" si="15"/>
        <v>114.2</v>
      </c>
      <c r="AK127" s="88">
        <f t="shared" si="16"/>
        <v>121.7</v>
      </c>
      <c r="AL127" s="88">
        <f t="shared" si="17"/>
        <v>121.5</v>
      </c>
      <c r="AM127" s="89"/>
    </row>
    <row r="128" spans="1:39" x14ac:dyDescent="0.3">
      <c r="A128" s="84" t="s">
        <v>30</v>
      </c>
      <c r="B128" s="85">
        <v>2016</v>
      </c>
      <c r="C128" s="85" t="s">
        <v>40</v>
      </c>
      <c r="D128" s="85">
        <v>129.30000000000001</v>
      </c>
      <c r="E128" s="85">
        <v>139.5</v>
      </c>
      <c r="F128" s="85">
        <v>129.6</v>
      </c>
      <c r="G128" s="85">
        <v>134.5</v>
      </c>
      <c r="H128" s="85">
        <v>119.5</v>
      </c>
      <c r="I128" s="85">
        <v>138.5</v>
      </c>
      <c r="J128" s="85">
        <v>158.19999999999999</v>
      </c>
      <c r="K128" s="85">
        <v>171.8</v>
      </c>
      <c r="L128" s="85">
        <v>110.3</v>
      </c>
      <c r="M128" s="85">
        <v>134.30000000000001</v>
      </c>
      <c r="N128" s="85">
        <v>127.3</v>
      </c>
      <c r="O128" s="85">
        <v>139.9</v>
      </c>
      <c r="P128" s="85">
        <v>137.6</v>
      </c>
      <c r="Q128" s="85">
        <v>138</v>
      </c>
      <c r="R128" s="85">
        <v>137.19999999999999</v>
      </c>
      <c r="S128" s="85">
        <v>132.19999999999999</v>
      </c>
      <c r="T128" s="85">
        <v>136.5</v>
      </c>
      <c r="U128" s="85" t="s">
        <v>32</v>
      </c>
      <c r="V128" s="85">
        <v>128.19999999999999</v>
      </c>
      <c r="W128" s="85">
        <v>130</v>
      </c>
      <c r="X128" s="85">
        <v>126.7</v>
      </c>
      <c r="Y128" s="85">
        <v>116.4</v>
      </c>
      <c r="Z128" s="85">
        <v>125.2</v>
      </c>
      <c r="AA128" s="85">
        <v>130.80000000000001</v>
      </c>
      <c r="AB128" s="85">
        <v>120.9</v>
      </c>
      <c r="AC128" s="85">
        <v>123.8</v>
      </c>
      <c r="AD128" s="85">
        <v>133</v>
      </c>
      <c r="AE128" s="85">
        <f t="shared" si="10"/>
        <v>1770.2999999999997</v>
      </c>
      <c r="AF128" s="85">
        <f t="shared" si="11"/>
        <v>138</v>
      </c>
      <c r="AG128" s="85">
        <f t="shared" si="12"/>
        <v>405.9</v>
      </c>
      <c r="AH128" s="85">
        <f t="shared" si="13"/>
        <v>258.2</v>
      </c>
      <c r="AI128" s="85">
        <f t="shared" si="14"/>
        <v>378.4</v>
      </c>
      <c r="AJ128" s="85">
        <f t="shared" si="15"/>
        <v>116.4</v>
      </c>
      <c r="AK128" s="85">
        <f t="shared" si="16"/>
        <v>125.2</v>
      </c>
      <c r="AL128" s="85">
        <f t="shared" si="17"/>
        <v>123.8</v>
      </c>
      <c r="AM128" s="86"/>
    </row>
    <row r="129" spans="1:39" x14ac:dyDescent="0.3">
      <c r="A129" s="87" t="s">
        <v>33</v>
      </c>
      <c r="B129" s="88">
        <v>2016</v>
      </c>
      <c r="C129" s="88" t="s">
        <v>40</v>
      </c>
      <c r="D129" s="88">
        <v>126.8</v>
      </c>
      <c r="E129" s="88">
        <v>144.19999999999999</v>
      </c>
      <c r="F129" s="88">
        <v>136.6</v>
      </c>
      <c r="G129" s="88">
        <v>131.80000000000001</v>
      </c>
      <c r="H129" s="88">
        <v>111</v>
      </c>
      <c r="I129" s="88">
        <v>137</v>
      </c>
      <c r="J129" s="88">
        <v>179.5</v>
      </c>
      <c r="K129" s="88">
        <v>188.4</v>
      </c>
      <c r="L129" s="88">
        <v>113.3</v>
      </c>
      <c r="M129" s="88">
        <v>143.9</v>
      </c>
      <c r="N129" s="88">
        <v>121.7</v>
      </c>
      <c r="O129" s="88">
        <v>137.5</v>
      </c>
      <c r="P129" s="88">
        <v>139.80000000000001</v>
      </c>
      <c r="Q129" s="88">
        <v>142.9</v>
      </c>
      <c r="R129" s="88">
        <v>127.9</v>
      </c>
      <c r="S129" s="88">
        <v>121.1</v>
      </c>
      <c r="T129" s="88">
        <v>126.9</v>
      </c>
      <c r="U129" s="88">
        <v>126.4</v>
      </c>
      <c r="V129" s="88">
        <v>115.5</v>
      </c>
      <c r="W129" s="88">
        <v>123.5</v>
      </c>
      <c r="X129" s="88">
        <v>120.9</v>
      </c>
      <c r="Y129" s="88">
        <v>111.7</v>
      </c>
      <c r="Z129" s="88">
        <v>120.3</v>
      </c>
      <c r="AA129" s="88">
        <v>130.80000000000001</v>
      </c>
      <c r="AB129" s="88">
        <v>120</v>
      </c>
      <c r="AC129" s="88">
        <v>119.9</v>
      </c>
      <c r="AD129" s="88">
        <v>129</v>
      </c>
      <c r="AE129" s="88">
        <f t="shared" si="10"/>
        <v>1811.5000000000002</v>
      </c>
      <c r="AF129" s="88">
        <f t="shared" si="11"/>
        <v>142.9</v>
      </c>
      <c r="AG129" s="88">
        <f t="shared" si="12"/>
        <v>375.9</v>
      </c>
      <c r="AH129" s="88">
        <f t="shared" si="13"/>
        <v>365.4</v>
      </c>
      <c r="AI129" s="88">
        <f t="shared" si="14"/>
        <v>371.70000000000005</v>
      </c>
      <c r="AJ129" s="88">
        <f t="shared" si="15"/>
        <v>111.7</v>
      </c>
      <c r="AK129" s="88">
        <f t="shared" si="16"/>
        <v>120.3</v>
      </c>
      <c r="AL129" s="88">
        <f t="shared" si="17"/>
        <v>119.9</v>
      </c>
      <c r="AM129" s="89"/>
    </row>
    <row r="130" spans="1:39" x14ac:dyDescent="0.3">
      <c r="A130" s="84" t="s">
        <v>34</v>
      </c>
      <c r="B130" s="85">
        <v>2016</v>
      </c>
      <c r="C130" s="85" t="s">
        <v>40</v>
      </c>
      <c r="D130" s="85">
        <v>128.5</v>
      </c>
      <c r="E130" s="85">
        <v>141.19999999999999</v>
      </c>
      <c r="F130" s="85">
        <v>132.30000000000001</v>
      </c>
      <c r="G130" s="85">
        <v>133.5</v>
      </c>
      <c r="H130" s="85">
        <v>116.4</v>
      </c>
      <c r="I130" s="85">
        <v>137.80000000000001</v>
      </c>
      <c r="J130" s="85">
        <v>165.4</v>
      </c>
      <c r="K130" s="85">
        <v>177.4</v>
      </c>
      <c r="L130" s="85">
        <v>111.3</v>
      </c>
      <c r="M130" s="85">
        <v>137.5</v>
      </c>
      <c r="N130" s="85">
        <v>125</v>
      </c>
      <c r="O130" s="85">
        <v>138.80000000000001</v>
      </c>
      <c r="P130" s="85">
        <v>138.4</v>
      </c>
      <c r="Q130" s="85">
        <v>139.30000000000001</v>
      </c>
      <c r="R130" s="85">
        <v>133.5</v>
      </c>
      <c r="S130" s="85">
        <v>127.6</v>
      </c>
      <c r="T130" s="85">
        <v>132.69999999999999</v>
      </c>
      <c r="U130" s="85">
        <v>126.4</v>
      </c>
      <c r="V130" s="85">
        <v>123.4</v>
      </c>
      <c r="W130" s="85">
        <v>126.9</v>
      </c>
      <c r="X130" s="85">
        <v>124.5</v>
      </c>
      <c r="Y130" s="85">
        <v>113.9</v>
      </c>
      <c r="Z130" s="85">
        <v>122.4</v>
      </c>
      <c r="AA130" s="85">
        <v>130.80000000000001</v>
      </c>
      <c r="AB130" s="85">
        <v>120.5</v>
      </c>
      <c r="AC130" s="85">
        <v>121.9</v>
      </c>
      <c r="AD130" s="85">
        <v>131.1</v>
      </c>
      <c r="AE130" s="85">
        <f t="shared" si="10"/>
        <v>1783.5</v>
      </c>
      <c r="AF130" s="85">
        <f t="shared" si="11"/>
        <v>139.30000000000001</v>
      </c>
      <c r="AG130" s="85">
        <f t="shared" si="12"/>
        <v>393.8</v>
      </c>
      <c r="AH130" s="85">
        <f t="shared" si="13"/>
        <v>376.70000000000005</v>
      </c>
      <c r="AI130" s="85">
        <f t="shared" si="14"/>
        <v>375.8</v>
      </c>
      <c r="AJ130" s="85">
        <f t="shared" si="15"/>
        <v>113.9</v>
      </c>
      <c r="AK130" s="85">
        <f t="shared" si="16"/>
        <v>122.4</v>
      </c>
      <c r="AL130" s="85">
        <f t="shared" si="17"/>
        <v>121.9</v>
      </c>
      <c r="AM130" s="86"/>
    </row>
    <row r="131" spans="1:39" x14ac:dyDescent="0.3">
      <c r="A131" s="87" t="s">
        <v>30</v>
      </c>
      <c r="B131" s="88">
        <v>2016</v>
      </c>
      <c r="C131" s="88" t="s">
        <v>41</v>
      </c>
      <c r="D131" s="88">
        <v>130.1</v>
      </c>
      <c r="E131" s="88">
        <v>138.80000000000001</v>
      </c>
      <c r="F131" s="88">
        <v>130.30000000000001</v>
      </c>
      <c r="G131" s="88">
        <v>135.30000000000001</v>
      </c>
      <c r="H131" s="88">
        <v>119.9</v>
      </c>
      <c r="I131" s="88">
        <v>140.19999999999999</v>
      </c>
      <c r="J131" s="88">
        <v>156.9</v>
      </c>
      <c r="K131" s="88">
        <v>172.2</v>
      </c>
      <c r="L131" s="88">
        <v>112.1</v>
      </c>
      <c r="M131" s="88">
        <v>134.9</v>
      </c>
      <c r="N131" s="88">
        <v>128.1</v>
      </c>
      <c r="O131" s="88">
        <v>140.69999999999999</v>
      </c>
      <c r="P131" s="88">
        <v>138</v>
      </c>
      <c r="Q131" s="88">
        <v>138.9</v>
      </c>
      <c r="R131" s="88">
        <v>137.80000000000001</v>
      </c>
      <c r="S131" s="88">
        <v>133</v>
      </c>
      <c r="T131" s="88">
        <v>137.1</v>
      </c>
      <c r="U131" s="88" t="s">
        <v>32</v>
      </c>
      <c r="V131" s="88">
        <v>129.1</v>
      </c>
      <c r="W131" s="88">
        <v>130.6</v>
      </c>
      <c r="X131" s="88">
        <v>127</v>
      </c>
      <c r="Y131" s="88">
        <v>116</v>
      </c>
      <c r="Z131" s="88">
        <v>125.5</v>
      </c>
      <c r="AA131" s="88">
        <v>131.9</v>
      </c>
      <c r="AB131" s="88">
        <v>122</v>
      </c>
      <c r="AC131" s="88">
        <v>124.2</v>
      </c>
      <c r="AD131" s="88">
        <v>133.5</v>
      </c>
      <c r="AE131" s="88">
        <f t="shared" ref="AE131:AE194" si="18">SUM(D131:P131)</f>
        <v>1777.4999999999998</v>
      </c>
      <c r="AF131" s="88">
        <f t="shared" ref="AF131:AF194" si="19">SUM(Q131)</f>
        <v>138.9</v>
      </c>
      <c r="AG131" s="88">
        <f t="shared" ref="AG131:AG194" si="20">SUM(R131:T131)</f>
        <v>407.9</v>
      </c>
      <c r="AH131" s="88">
        <f t="shared" ref="AH131:AH194" si="21">SUM(U131:W131)</f>
        <v>259.7</v>
      </c>
      <c r="AI131" s="88">
        <f t="shared" ref="AI131:AI194" si="22">SUM(X131,AA131,AB131)</f>
        <v>380.9</v>
      </c>
      <c r="AJ131" s="88">
        <f t="shared" ref="AJ131:AJ194" si="23">SUM(Y131)</f>
        <v>116</v>
      </c>
      <c r="AK131" s="88">
        <f t="shared" ref="AK131:AK194" si="24">SUM(Z131)</f>
        <v>125.5</v>
      </c>
      <c r="AL131" s="88">
        <f t="shared" ref="AL131:AL194" si="25">SUM(AC131)</f>
        <v>124.2</v>
      </c>
      <c r="AM131" s="89"/>
    </row>
    <row r="132" spans="1:39" x14ac:dyDescent="0.3">
      <c r="A132" s="84" t="s">
        <v>33</v>
      </c>
      <c r="B132" s="85">
        <v>2016</v>
      </c>
      <c r="C132" s="85" t="s">
        <v>41</v>
      </c>
      <c r="D132" s="85">
        <v>127.6</v>
      </c>
      <c r="E132" s="85">
        <v>140.30000000000001</v>
      </c>
      <c r="F132" s="85">
        <v>133.69999999999999</v>
      </c>
      <c r="G132" s="85">
        <v>132.19999999999999</v>
      </c>
      <c r="H132" s="85">
        <v>111.8</v>
      </c>
      <c r="I132" s="85">
        <v>135.80000000000001</v>
      </c>
      <c r="J132" s="85">
        <v>163.5</v>
      </c>
      <c r="K132" s="85">
        <v>182.3</v>
      </c>
      <c r="L132" s="85">
        <v>114.6</v>
      </c>
      <c r="M132" s="85">
        <v>144.6</v>
      </c>
      <c r="N132" s="85">
        <v>121.9</v>
      </c>
      <c r="O132" s="85">
        <v>138.1</v>
      </c>
      <c r="P132" s="85">
        <v>137.6</v>
      </c>
      <c r="Q132" s="85">
        <v>143.6</v>
      </c>
      <c r="R132" s="85">
        <v>128.30000000000001</v>
      </c>
      <c r="S132" s="85">
        <v>121.4</v>
      </c>
      <c r="T132" s="85">
        <v>127.3</v>
      </c>
      <c r="U132" s="85">
        <v>127.3</v>
      </c>
      <c r="V132" s="85">
        <v>114.7</v>
      </c>
      <c r="W132" s="85">
        <v>123.9</v>
      </c>
      <c r="X132" s="85">
        <v>121.2</v>
      </c>
      <c r="Y132" s="85">
        <v>110.4</v>
      </c>
      <c r="Z132" s="85">
        <v>120.6</v>
      </c>
      <c r="AA132" s="85">
        <v>131.5</v>
      </c>
      <c r="AB132" s="85">
        <v>120.9</v>
      </c>
      <c r="AC132" s="85">
        <v>119.9</v>
      </c>
      <c r="AD132" s="85">
        <v>128.4</v>
      </c>
      <c r="AE132" s="85">
        <f t="shared" si="18"/>
        <v>1783.9999999999995</v>
      </c>
      <c r="AF132" s="85">
        <f t="shared" si="19"/>
        <v>143.6</v>
      </c>
      <c r="AG132" s="85">
        <f t="shared" si="20"/>
        <v>377</v>
      </c>
      <c r="AH132" s="85">
        <f t="shared" si="21"/>
        <v>365.9</v>
      </c>
      <c r="AI132" s="85">
        <f t="shared" si="22"/>
        <v>373.6</v>
      </c>
      <c r="AJ132" s="85">
        <f t="shared" si="23"/>
        <v>110.4</v>
      </c>
      <c r="AK132" s="85">
        <f t="shared" si="24"/>
        <v>120.6</v>
      </c>
      <c r="AL132" s="85">
        <f t="shared" si="25"/>
        <v>119.9</v>
      </c>
      <c r="AM132" s="86"/>
    </row>
    <row r="133" spans="1:39" x14ac:dyDescent="0.3">
      <c r="A133" s="87" t="s">
        <v>34</v>
      </c>
      <c r="B133" s="88">
        <v>2016</v>
      </c>
      <c r="C133" s="88" t="s">
        <v>41</v>
      </c>
      <c r="D133" s="88">
        <v>129.30000000000001</v>
      </c>
      <c r="E133" s="88">
        <v>139.30000000000001</v>
      </c>
      <c r="F133" s="88">
        <v>131.6</v>
      </c>
      <c r="G133" s="88">
        <v>134.1</v>
      </c>
      <c r="H133" s="88">
        <v>116.9</v>
      </c>
      <c r="I133" s="88">
        <v>138.1</v>
      </c>
      <c r="J133" s="88">
        <v>159.1</v>
      </c>
      <c r="K133" s="88">
        <v>175.6</v>
      </c>
      <c r="L133" s="88">
        <v>112.9</v>
      </c>
      <c r="M133" s="88">
        <v>138.1</v>
      </c>
      <c r="N133" s="88">
        <v>125.5</v>
      </c>
      <c r="O133" s="88">
        <v>139.5</v>
      </c>
      <c r="P133" s="88">
        <v>137.9</v>
      </c>
      <c r="Q133" s="88">
        <v>140.19999999999999</v>
      </c>
      <c r="R133" s="88">
        <v>134.1</v>
      </c>
      <c r="S133" s="88">
        <v>128.19999999999999</v>
      </c>
      <c r="T133" s="88">
        <v>133.19999999999999</v>
      </c>
      <c r="U133" s="88">
        <v>127.3</v>
      </c>
      <c r="V133" s="88">
        <v>123.6</v>
      </c>
      <c r="W133" s="88">
        <v>127.4</v>
      </c>
      <c r="X133" s="88">
        <v>124.8</v>
      </c>
      <c r="Y133" s="88">
        <v>113.1</v>
      </c>
      <c r="Z133" s="88">
        <v>122.7</v>
      </c>
      <c r="AA133" s="88">
        <v>131.69999999999999</v>
      </c>
      <c r="AB133" s="88">
        <v>121.5</v>
      </c>
      <c r="AC133" s="88">
        <v>122.1</v>
      </c>
      <c r="AD133" s="88">
        <v>131.1</v>
      </c>
      <c r="AE133" s="88">
        <f t="shared" si="18"/>
        <v>1777.9</v>
      </c>
      <c r="AF133" s="88">
        <f t="shared" si="19"/>
        <v>140.19999999999999</v>
      </c>
      <c r="AG133" s="88">
        <f t="shared" si="20"/>
        <v>395.49999999999994</v>
      </c>
      <c r="AH133" s="88">
        <f t="shared" si="21"/>
        <v>378.29999999999995</v>
      </c>
      <c r="AI133" s="88">
        <f t="shared" si="22"/>
        <v>378</v>
      </c>
      <c r="AJ133" s="88">
        <f t="shared" si="23"/>
        <v>113.1</v>
      </c>
      <c r="AK133" s="88">
        <f t="shared" si="24"/>
        <v>122.7</v>
      </c>
      <c r="AL133" s="88">
        <f t="shared" si="25"/>
        <v>122.1</v>
      </c>
      <c r="AM133" s="89"/>
    </row>
    <row r="134" spans="1:39" x14ac:dyDescent="0.3">
      <c r="A134" s="84" t="s">
        <v>30</v>
      </c>
      <c r="B134" s="85">
        <v>2016</v>
      </c>
      <c r="C134" s="85" t="s">
        <v>42</v>
      </c>
      <c r="D134" s="85">
        <v>130.80000000000001</v>
      </c>
      <c r="E134" s="85">
        <v>138.19999999999999</v>
      </c>
      <c r="F134" s="85">
        <v>130.5</v>
      </c>
      <c r="G134" s="85">
        <v>135.5</v>
      </c>
      <c r="H134" s="85">
        <v>120.2</v>
      </c>
      <c r="I134" s="85">
        <v>139.19999999999999</v>
      </c>
      <c r="J134" s="85">
        <v>149.5</v>
      </c>
      <c r="K134" s="85">
        <v>170.4</v>
      </c>
      <c r="L134" s="85">
        <v>113.1</v>
      </c>
      <c r="M134" s="85">
        <v>135.80000000000001</v>
      </c>
      <c r="N134" s="85">
        <v>128.80000000000001</v>
      </c>
      <c r="O134" s="85">
        <v>141.5</v>
      </c>
      <c r="P134" s="85">
        <v>137.19999999999999</v>
      </c>
      <c r="Q134" s="85">
        <v>139.9</v>
      </c>
      <c r="R134" s="85">
        <v>138.5</v>
      </c>
      <c r="S134" s="85">
        <v>133.5</v>
      </c>
      <c r="T134" s="85">
        <v>137.80000000000001</v>
      </c>
      <c r="U134" s="85" t="s">
        <v>32</v>
      </c>
      <c r="V134" s="85">
        <v>129.69999999999999</v>
      </c>
      <c r="W134" s="85">
        <v>131.1</v>
      </c>
      <c r="X134" s="85">
        <v>127.8</v>
      </c>
      <c r="Y134" s="85">
        <v>117</v>
      </c>
      <c r="Z134" s="85">
        <v>125.7</v>
      </c>
      <c r="AA134" s="85">
        <v>132.19999999999999</v>
      </c>
      <c r="AB134" s="85">
        <v>122.8</v>
      </c>
      <c r="AC134" s="85">
        <v>124.9</v>
      </c>
      <c r="AD134" s="85">
        <v>133.4</v>
      </c>
      <c r="AE134" s="85">
        <f t="shared" si="18"/>
        <v>1770.7</v>
      </c>
      <c r="AF134" s="85">
        <f t="shared" si="19"/>
        <v>139.9</v>
      </c>
      <c r="AG134" s="85">
        <f t="shared" si="20"/>
        <v>409.8</v>
      </c>
      <c r="AH134" s="85">
        <f t="shared" si="21"/>
        <v>260.79999999999995</v>
      </c>
      <c r="AI134" s="85">
        <f t="shared" si="22"/>
        <v>382.8</v>
      </c>
      <c r="AJ134" s="85">
        <f t="shared" si="23"/>
        <v>117</v>
      </c>
      <c r="AK134" s="85">
        <f t="shared" si="24"/>
        <v>125.7</v>
      </c>
      <c r="AL134" s="85">
        <f t="shared" si="25"/>
        <v>124.9</v>
      </c>
      <c r="AM134" s="86"/>
    </row>
    <row r="135" spans="1:39" x14ac:dyDescent="0.3">
      <c r="A135" s="87" t="s">
        <v>33</v>
      </c>
      <c r="B135" s="88">
        <v>2016</v>
      </c>
      <c r="C135" s="88" t="s">
        <v>42</v>
      </c>
      <c r="D135" s="88">
        <v>128.1</v>
      </c>
      <c r="E135" s="88">
        <v>137.69999999999999</v>
      </c>
      <c r="F135" s="88">
        <v>130.6</v>
      </c>
      <c r="G135" s="88">
        <v>132.6</v>
      </c>
      <c r="H135" s="88">
        <v>111.9</v>
      </c>
      <c r="I135" s="88">
        <v>132.5</v>
      </c>
      <c r="J135" s="88">
        <v>152.9</v>
      </c>
      <c r="K135" s="88">
        <v>173.6</v>
      </c>
      <c r="L135" s="88">
        <v>115.1</v>
      </c>
      <c r="M135" s="88">
        <v>144.80000000000001</v>
      </c>
      <c r="N135" s="88">
        <v>122.1</v>
      </c>
      <c r="O135" s="88">
        <v>138.80000000000001</v>
      </c>
      <c r="P135" s="88">
        <v>135.69999999999999</v>
      </c>
      <c r="Q135" s="88">
        <v>143.9</v>
      </c>
      <c r="R135" s="88">
        <v>128.69999999999999</v>
      </c>
      <c r="S135" s="88">
        <v>121.6</v>
      </c>
      <c r="T135" s="88">
        <v>127.7</v>
      </c>
      <c r="U135" s="88">
        <v>127.9</v>
      </c>
      <c r="V135" s="88">
        <v>114.8</v>
      </c>
      <c r="W135" s="88">
        <v>124.3</v>
      </c>
      <c r="X135" s="88">
        <v>121.4</v>
      </c>
      <c r="Y135" s="88">
        <v>111.8</v>
      </c>
      <c r="Z135" s="88">
        <v>120.8</v>
      </c>
      <c r="AA135" s="88">
        <v>131.6</v>
      </c>
      <c r="AB135" s="88">
        <v>121.2</v>
      </c>
      <c r="AC135" s="88">
        <v>120.5</v>
      </c>
      <c r="AD135" s="88">
        <v>128</v>
      </c>
      <c r="AE135" s="88">
        <f t="shared" si="18"/>
        <v>1756.3999999999996</v>
      </c>
      <c r="AF135" s="88">
        <f t="shared" si="19"/>
        <v>143.9</v>
      </c>
      <c r="AG135" s="88">
        <f t="shared" si="20"/>
        <v>378</v>
      </c>
      <c r="AH135" s="88">
        <f t="shared" si="21"/>
        <v>367</v>
      </c>
      <c r="AI135" s="88">
        <f t="shared" si="22"/>
        <v>374.2</v>
      </c>
      <c r="AJ135" s="88">
        <f t="shared" si="23"/>
        <v>111.8</v>
      </c>
      <c r="AK135" s="88">
        <f t="shared" si="24"/>
        <v>120.8</v>
      </c>
      <c r="AL135" s="88">
        <f t="shared" si="25"/>
        <v>120.5</v>
      </c>
      <c r="AM135" s="89"/>
    </row>
    <row r="136" spans="1:39" x14ac:dyDescent="0.3">
      <c r="A136" s="84" t="s">
        <v>34</v>
      </c>
      <c r="B136" s="85">
        <v>2016</v>
      </c>
      <c r="C136" s="85" t="s">
        <v>42</v>
      </c>
      <c r="D136" s="85">
        <v>129.9</v>
      </c>
      <c r="E136" s="85">
        <v>138</v>
      </c>
      <c r="F136" s="85">
        <v>130.5</v>
      </c>
      <c r="G136" s="85">
        <v>134.4</v>
      </c>
      <c r="H136" s="85">
        <v>117.2</v>
      </c>
      <c r="I136" s="85">
        <v>136.1</v>
      </c>
      <c r="J136" s="85">
        <v>150.69999999999999</v>
      </c>
      <c r="K136" s="85">
        <v>171.5</v>
      </c>
      <c r="L136" s="85">
        <v>113.8</v>
      </c>
      <c r="M136" s="85">
        <v>138.80000000000001</v>
      </c>
      <c r="N136" s="85">
        <v>126</v>
      </c>
      <c r="O136" s="85">
        <v>140.19999999999999</v>
      </c>
      <c r="P136" s="85">
        <v>136.6</v>
      </c>
      <c r="Q136" s="85">
        <v>141</v>
      </c>
      <c r="R136" s="85">
        <v>134.6</v>
      </c>
      <c r="S136" s="85">
        <v>128.6</v>
      </c>
      <c r="T136" s="85">
        <v>133.80000000000001</v>
      </c>
      <c r="U136" s="85">
        <v>127.9</v>
      </c>
      <c r="V136" s="85">
        <v>124.1</v>
      </c>
      <c r="W136" s="85">
        <v>127.9</v>
      </c>
      <c r="X136" s="85">
        <v>125.4</v>
      </c>
      <c r="Y136" s="85">
        <v>114.3</v>
      </c>
      <c r="Z136" s="85">
        <v>122.9</v>
      </c>
      <c r="AA136" s="85">
        <v>131.80000000000001</v>
      </c>
      <c r="AB136" s="85">
        <v>122.1</v>
      </c>
      <c r="AC136" s="85">
        <v>122.8</v>
      </c>
      <c r="AD136" s="85">
        <v>130.9</v>
      </c>
      <c r="AE136" s="85">
        <f t="shared" si="18"/>
        <v>1763.6999999999998</v>
      </c>
      <c r="AF136" s="85">
        <f t="shared" si="19"/>
        <v>141</v>
      </c>
      <c r="AG136" s="85">
        <f t="shared" si="20"/>
        <v>397</v>
      </c>
      <c r="AH136" s="85">
        <f t="shared" si="21"/>
        <v>379.9</v>
      </c>
      <c r="AI136" s="85">
        <f t="shared" si="22"/>
        <v>379.30000000000007</v>
      </c>
      <c r="AJ136" s="85">
        <f t="shared" si="23"/>
        <v>114.3</v>
      </c>
      <c r="AK136" s="85">
        <f t="shared" si="24"/>
        <v>122.9</v>
      </c>
      <c r="AL136" s="85">
        <f t="shared" si="25"/>
        <v>122.8</v>
      </c>
      <c r="AM136" s="86"/>
    </row>
    <row r="137" spans="1:39" x14ac:dyDescent="0.3">
      <c r="A137" s="87" t="s">
        <v>30</v>
      </c>
      <c r="B137" s="88">
        <v>2016</v>
      </c>
      <c r="C137" s="88" t="s">
        <v>43</v>
      </c>
      <c r="D137" s="88">
        <v>131.30000000000001</v>
      </c>
      <c r="E137" s="88">
        <v>137.6</v>
      </c>
      <c r="F137" s="88">
        <v>130.1</v>
      </c>
      <c r="G137" s="88">
        <v>136</v>
      </c>
      <c r="H137" s="88">
        <v>120.8</v>
      </c>
      <c r="I137" s="88">
        <v>138.4</v>
      </c>
      <c r="J137" s="88">
        <v>149.19999999999999</v>
      </c>
      <c r="K137" s="88">
        <v>170.2</v>
      </c>
      <c r="L137" s="88">
        <v>113.4</v>
      </c>
      <c r="M137" s="88">
        <v>136.30000000000001</v>
      </c>
      <c r="N137" s="88">
        <v>128.69999999999999</v>
      </c>
      <c r="O137" s="88">
        <v>142.4</v>
      </c>
      <c r="P137" s="88">
        <v>137.4</v>
      </c>
      <c r="Q137" s="88">
        <v>140.9</v>
      </c>
      <c r="R137" s="88">
        <v>139.6</v>
      </c>
      <c r="S137" s="88">
        <v>134.30000000000001</v>
      </c>
      <c r="T137" s="88">
        <v>138.80000000000001</v>
      </c>
      <c r="U137" s="88" t="s">
        <v>32</v>
      </c>
      <c r="V137" s="88">
        <v>129.80000000000001</v>
      </c>
      <c r="W137" s="88">
        <v>131.80000000000001</v>
      </c>
      <c r="X137" s="88">
        <v>128.69999999999999</v>
      </c>
      <c r="Y137" s="88">
        <v>117.8</v>
      </c>
      <c r="Z137" s="88">
        <v>126.5</v>
      </c>
      <c r="AA137" s="88">
        <v>133</v>
      </c>
      <c r="AB137" s="88">
        <v>123</v>
      </c>
      <c r="AC137" s="88">
        <v>125.7</v>
      </c>
      <c r="AD137" s="88">
        <v>133.80000000000001</v>
      </c>
      <c r="AE137" s="88">
        <f t="shared" si="18"/>
        <v>1771.8000000000002</v>
      </c>
      <c r="AF137" s="88">
        <f t="shared" si="19"/>
        <v>140.9</v>
      </c>
      <c r="AG137" s="88">
        <f t="shared" si="20"/>
        <v>412.7</v>
      </c>
      <c r="AH137" s="88">
        <f t="shared" si="21"/>
        <v>261.60000000000002</v>
      </c>
      <c r="AI137" s="88">
        <f t="shared" si="22"/>
        <v>384.7</v>
      </c>
      <c r="AJ137" s="88">
        <f t="shared" si="23"/>
        <v>117.8</v>
      </c>
      <c r="AK137" s="88">
        <f t="shared" si="24"/>
        <v>126.5</v>
      </c>
      <c r="AL137" s="88">
        <f t="shared" si="25"/>
        <v>125.7</v>
      </c>
      <c r="AM137" s="89"/>
    </row>
    <row r="138" spans="1:39" x14ac:dyDescent="0.3">
      <c r="A138" s="84" t="s">
        <v>33</v>
      </c>
      <c r="B138" s="85">
        <v>2016</v>
      </c>
      <c r="C138" s="85" t="s">
        <v>43</v>
      </c>
      <c r="D138" s="85">
        <v>128.69999999999999</v>
      </c>
      <c r="E138" s="85">
        <v>138.4</v>
      </c>
      <c r="F138" s="85">
        <v>130.30000000000001</v>
      </c>
      <c r="G138" s="85">
        <v>132.69999999999999</v>
      </c>
      <c r="H138" s="85">
        <v>112.5</v>
      </c>
      <c r="I138" s="85">
        <v>130.4</v>
      </c>
      <c r="J138" s="85">
        <v>155.1</v>
      </c>
      <c r="K138" s="85">
        <v>175.7</v>
      </c>
      <c r="L138" s="85">
        <v>115.4</v>
      </c>
      <c r="M138" s="85">
        <v>145.30000000000001</v>
      </c>
      <c r="N138" s="85">
        <v>122.5</v>
      </c>
      <c r="O138" s="85">
        <v>139.6</v>
      </c>
      <c r="P138" s="85">
        <v>136.30000000000001</v>
      </c>
      <c r="Q138" s="85">
        <v>144.30000000000001</v>
      </c>
      <c r="R138" s="85">
        <v>129.1</v>
      </c>
      <c r="S138" s="85">
        <v>121.9</v>
      </c>
      <c r="T138" s="85">
        <v>128</v>
      </c>
      <c r="U138" s="85">
        <v>128.69999999999999</v>
      </c>
      <c r="V138" s="85">
        <v>115.2</v>
      </c>
      <c r="W138" s="85">
        <v>124.5</v>
      </c>
      <c r="X138" s="85">
        <v>121.8</v>
      </c>
      <c r="Y138" s="85">
        <v>112.8</v>
      </c>
      <c r="Z138" s="85">
        <v>121.2</v>
      </c>
      <c r="AA138" s="85">
        <v>131.9</v>
      </c>
      <c r="AB138" s="85">
        <v>120.8</v>
      </c>
      <c r="AC138" s="85">
        <v>120.9</v>
      </c>
      <c r="AD138" s="85">
        <v>128.6</v>
      </c>
      <c r="AE138" s="85">
        <f t="shared" si="18"/>
        <v>1762.8999999999999</v>
      </c>
      <c r="AF138" s="85">
        <f t="shared" si="19"/>
        <v>144.30000000000001</v>
      </c>
      <c r="AG138" s="85">
        <f t="shared" si="20"/>
        <v>379</v>
      </c>
      <c r="AH138" s="85">
        <f t="shared" si="21"/>
        <v>368.4</v>
      </c>
      <c r="AI138" s="85">
        <f t="shared" si="22"/>
        <v>374.5</v>
      </c>
      <c r="AJ138" s="85">
        <f t="shared" si="23"/>
        <v>112.8</v>
      </c>
      <c r="AK138" s="85">
        <f t="shared" si="24"/>
        <v>121.2</v>
      </c>
      <c r="AL138" s="85">
        <f t="shared" si="25"/>
        <v>120.9</v>
      </c>
      <c r="AM138" s="86"/>
    </row>
    <row r="139" spans="1:39" x14ac:dyDescent="0.3">
      <c r="A139" s="87" t="s">
        <v>34</v>
      </c>
      <c r="B139" s="88">
        <v>2016</v>
      </c>
      <c r="C139" s="88" t="s">
        <v>43</v>
      </c>
      <c r="D139" s="88">
        <v>130.5</v>
      </c>
      <c r="E139" s="88">
        <v>137.9</v>
      </c>
      <c r="F139" s="88">
        <v>130.19999999999999</v>
      </c>
      <c r="G139" s="88">
        <v>134.80000000000001</v>
      </c>
      <c r="H139" s="88">
        <v>117.8</v>
      </c>
      <c r="I139" s="88">
        <v>134.69999999999999</v>
      </c>
      <c r="J139" s="88">
        <v>151.19999999999999</v>
      </c>
      <c r="K139" s="88">
        <v>172.1</v>
      </c>
      <c r="L139" s="88">
        <v>114.1</v>
      </c>
      <c r="M139" s="88">
        <v>139.30000000000001</v>
      </c>
      <c r="N139" s="88">
        <v>126.1</v>
      </c>
      <c r="O139" s="88">
        <v>141.1</v>
      </c>
      <c r="P139" s="88">
        <v>137</v>
      </c>
      <c r="Q139" s="88">
        <v>141.80000000000001</v>
      </c>
      <c r="R139" s="88">
        <v>135.5</v>
      </c>
      <c r="S139" s="88">
        <v>129.1</v>
      </c>
      <c r="T139" s="88">
        <v>134.5</v>
      </c>
      <c r="U139" s="88">
        <v>128.69999999999999</v>
      </c>
      <c r="V139" s="88">
        <v>124.3</v>
      </c>
      <c r="W139" s="88">
        <v>128.4</v>
      </c>
      <c r="X139" s="88">
        <v>126.1</v>
      </c>
      <c r="Y139" s="88">
        <v>115.2</v>
      </c>
      <c r="Z139" s="88">
        <v>123.5</v>
      </c>
      <c r="AA139" s="88">
        <v>132.4</v>
      </c>
      <c r="AB139" s="88">
        <v>122.1</v>
      </c>
      <c r="AC139" s="88">
        <v>123.4</v>
      </c>
      <c r="AD139" s="88">
        <v>131.4</v>
      </c>
      <c r="AE139" s="88">
        <f t="shared" si="18"/>
        <v>1766.7999999999995</v>
      </c>
      <c r="AF139" s="88">
        <f t="shared" si="19"/>
        <v>141.80000000000001</v>
      </c>
      <c r="AG139" s="88">
        <f t="shared" si="20"/>
        <v>399.1</v>
      </c>
      <c r="AH139" s="88">
        <f t="shared" si="21"/>
        <v>381.4</v>
      </c>
      <c r="AI139" s="88">
        <f t="shared" si="22"/>
        <v>380.6</v>
      </c>
      <c r="AJ139" s="88">
        <f t="shared" si="23"/>
        <v>115.2</v>
      </c>
      <c r="AK139" s="88">
        <f t="shared" si="24"/>
        <v>123.5</v>
      </c>
      <c r="AL139" s="88">
        <f t="shared" si="25"/>
        <v>123.4</v>
      </c>
      <c r="AM139" s="89"/>
    </row>
    <row r="140" spans="1:39" x14ac:dyDescent="0.3">
      <c r="A140" s="84" t="s">
        <v>30</v>
      </c>
      <c r="B140" s="85">
        <v>2016</v>
      </c>
      <c r="C140" s="85" t="s">
        <v>45</v>
      </c>
      <c r="D140" s="85">
        <v>132</v>
      </c>
      <c r="E140" s="85">
        <v>137.4</v>
      </c>
      <c r="F140" s="85">
        <v>130.6</v>
      </c>
      <c r="G140" s="85">
        <v>136.19999999999999</v>
      </c>
      <c r="H140" s="85">
        <v>121.1</v>
      </c>
      <c r="I140" s="85">
        <v>136.9</v>
      </c>
      <c r="J140" s="85">
        <v>141.80000000000001</v>
      </c>
      <c r="K140" s="85">
        <v>170</v>
      </c>
      <c r="L140" s="85">
        <v>113.4</v>
      </c>
      <c r="M140" s="85">
        <v>136.80000000000001</v>
      </c>
      <c r="N140" s="85">
        <v>128.69999999999999</v>
      </c>
      <c r="O140" s="85">
        <v>143.1</v>
      </c>
      <c r="P140" s="85">
        <v>136.6</v>
      </c>
      <c r="Q140" s="85">
        <v>141.19999999999999</v>
      </c>
      <c r="R140" s="85">
        <v>139.9</v>
      </c>
      <c r="S140" s="85">
        <v>134.5</v>
      </c>
      <c r="T140" s="85">
        <v>139.19999999999999</v>
      </c>
      <c r="U140" s="85" t="s">
        <v>32</v>
      </c>
      <c r="V140" s="85">
        <v>130.30000000000001</v>
      </c>
      <c r="W140" s="85">
        <v>132.1</v>
      </c>
      <c r="X140" s="85">
        <v>129.1</v>
      </c>
      <c r="Y140" s="85">
        <v>118.2</v>
      </c>
      <c r="Z140" s="85">
        <v>126.9</v>
      </c>
      <c r="AA140" s="85">
        <v>133.69999999999999</v>
      </c>
      <c r="AB140" s="85">
        <v>123.5</v>
      </c>
      <c r="AC140" s="85">
        <v>126.1</v>
      </c>
      <c r="AD140" s="85">
        <v>133.6</v>
      </c>
      <c r="AE140" s="85">
        <f t="shared" si="18"/>
        <v>1764.6</v>
      </c>
      <c r="AF140" s="85">
        <f t="shared" si="19"/>
        <v>141.19999999999999</v>
      </c>
      <c r="AG140" s="85">
        <f t="shared" si="20"/>
        <v>413.59999999999997</v>
      </c>
      <c r="AH140" s="85">
        <f t="shared" si="21"/>
        <v>262.39999999999998</v>
      </c>
      <c r="AI140" s="85">
        <f t="shared" si="22"/>
        <v>386.29999999999995</v>
      </c>
      <c r="AJ140" s="85">
        <f t="shared" si="23"/>
        <v>118.2</v>
      </c>
      <c r="AK140" s="85">
        <f t="shared" si="24"/>
        <v>126.9</v>
      </c>
      <c r="AL140" s="85">
        <f t="shared" si="25"/>
        <v>126.1</v>
      </c>
      <c r="AM140" s="86"/>
    </row>
    <row r="141" spans="1:39" x14ac:dyDescent="0.3">
      <c r="A141" s="87" t="s">
        <v>33</v>
      </c>
      <c r="B141" s="88">
        <v>2016</v>
      </c>
      <c r="C141" s="88" t="s">
        <v>45</v>
      </c>
      <c r="D141" s="88">
        <v>130.19999999999999</v>
      </c>
      <c r="E141" s="88">
        <v>138.5</v>
      </c>
      <c r="F141" s="88">
        <v>134.1</v>
      </c>
      <c r="G141" s="88">
        <v>132.9</v>
      </c>
      <c r="H141" s="88">
        <v>112.6</v>
      </c>
      <c r="I141" s="88">
        <v>130.80000000000001</v>
      </c>
      <c r="J141" s="88">
        <v>142</v>
      </c>
      <c r="K141" s="88">
        <v>174.9</v>
      </c>
      <c r="L141" s="88">
        <v>115.6</v>
      </c>
      <c r="M141" s="88">
        <v>145.4</v>
      </c>
      <c r="N141" s="88">
        <v>122.7</v>
      </c>
      <c r="O141" s="88">
        <v>140.30000000000001</v>
      </c>
      <c r="P141" s="88">
        <v>135.19999999999999</v>
      </c>
      <c r="Q141" s="88">
        <v>144.30000000000001</v>
      </c>
      <c r="R141" s="88">
        <v>129.6</v>
      </c>
      <c r="S141" s="88">
        <v>122.1</v>
      </c>
      <c r="T141" s="88">
        <v>128.5</v>
      </c>
      <c r="U141" s="88">
        <v>129.1</v>
      </c>
      <c r="V141" s="88">
        <v>116.2</v>
      </c>
      <c r="W141" s="88">
        <v>124.7</v>
      </c>
      <c r="X141" s="88">
        <v>122.1</v>
      </c>
      <c r="Y141" s="88">
        <v>113.4</v>
      </c>
      <c r="Z141" s="88">
        <v>121.7</v>
      </c>
      <c r="AA141" s="88">
        <v>132.1</v>
      </c>
      <c r="AB141" s="88">
        <v>121.3</v>
      </c>
      <c r="AC141" s="88">
        <v>121.3</v>
      </c>
      <c r="AD141" s="88">
        <v>128.5</v>
      </c>
      <c r="AE141" s="88">
        <f t="shared" si="18"/>
        <v>1755.2</v>
      </c>
      <c r="AF141" s="88">
        <f t="shared" si="19"/>
        <v>144.30000000000001</v>
      </c>
      <c r="AG141" s="88">
        <f t="shared" si="20"/>
        <v>380.2</v>
      </c>
      <c r="AH141" s="88">
        <f t="shared" si="21"/>
        <v>370</v>
      </c>
      <c r="AI141" s="88">
        <f t="shared" si="22"/>
        <v>375.5</v>
      </c>
      <c r="AJ141" s="88">
        <f t="shared" si="23"/>
        <v>113.4</v>
      </c>
      <c r="AK141" s="88">
        <f t="shared" si="24"/>
        <v>121.7</v>
      </c>
      <c r="AL141" s="88">
        <f t="shared" si="25"/>
        <v>121.3</v>
      </c>
      <c r="AM141" s="89"/>
    </row>
    <row r="142" spans="1:39" x14ac:dyDescent="0.3">
      <c r="A142" s="84" t="s">
        <v>34</v>
      </c>
      <c r="B142" s="85">
        <v>2016</v>
      </c>
      <c r="C142" s="85" t="s">
        <v>45</v>
      </c>
      <c r="D142" s="85">
        <v>131.4</v>
      </c>
      <c r="E142" s="85">
        <v>137.80000000000001</v>
      </c>
      <c r="F142" s="85">
        <v>132</v>
      </c>
      <c r="G142" s="85">
        <v>135</v>
      </c>
      <c r="H142" s="85">
        <v>118</v>
      </c>
      <c r="I142" s="85">
        <v>134.1</v>
      </c>
      <c r="J142" s="85">
        <v>141.9</v>
      </c>
      <c r="K142" s="85">
        <v>171.7</v>
      </c>
      <c r="L142" s="85">
        <v>114.1</v>
      </c>
      <c r="M142" s="85">
        <v>139.69999999999999</v>
      </c>
      <c r="N142" s="85">
        <v>126.2</v>
      </c>
      <c r="O142" s="85">
        <v>141.80000000000001</v>
      </c>
      <c r="P142" s="85">
        <v>136.1</v>
      </c>
      <c r="Q142" s="85">
        <v>142</v>
      </c>
      <c r="R142" s="85">
        <v>135.80000000000001</v>
      </c>
      <c r="S142" s="85">
        <v>129.30000000000001</v>
      </c>
      <c r="T142" s="85">
        <v>135</v>
      </c>
      <c r="U142" s="85">
        <v>129.1</v>
      </c>
      <c r="V142" s="85">
        <v>125</v>
      </c>
      <c r="W142" s="85">
        <v>128.6</v>
      </c>
      <c r="X142" s="85">
        <v>126.4</v>
      </c>
      <c r="Y142" s="85">
        <v>115.7</v>
      </c>
      <c r="Z142" s="85">
        <v>124</v>
      </c>
      <c r="AA142" s="85">
        <v>132.80000000000001</v>
      </c>
      <c r="AB142" s="85">
        <v>122.6</v>
      </c>
      <c r="AC142" s="85">
        <v>123.8</v>
      </c>
      <c r="AD142" s="85">
        <v>131.19999999999999</v>
      </c>
      <c r="AE142" s="85">
        <f t="shared" si="18"/>
        <v>1759.8</v>
      </c>
      <c r="AF142" s="85">
        <f t="shared" si="19"/>
        <v>142</v>
      </c>
      <c r="AG142" s="85">
        <f t="shared" si="20"/>
        <v>400.1</v>
      </c>
      <c r="AH142" s="85">
        <f t="shared" si="21"/>
        <v>382.7</v>
      </c>
      <c r="AI142" s="85">
        <f t="shared" si="22"/>
        <v>381.80000000000007</v>
      </c>
      <c r="AJ142" s="85">
        <f t="shared" si="23"/>
        <v>115.7</v>
      </c>
      <c r="AK142" s="85">
        <f t="shared" si="24"/>
        <v>124</v>
      </c>
      <c r="AL142" s="85">
        <f t="shared" si="25"/>
        <v>123.8</v>
      </c>
      <c r="AM142" s="86"/>
    </row>
    <row r="143" spans="1:39" x14ac:dyDescent="0.3">
      <c r="A143" s="87" t="s">
        <v>30</v>
      </c>
      <c r="B143" s="88">
        <v>2016</v>
      </c>
      <c r="C143" s="88" t="s">
        <v>46</v>
      </c>
      <c r="D143" s="88">
        <v>132.6</v>
      </c>
      <c r="E143" s="88">
        <v>137.30000000000001</v>
      </c>
      <c r="F143" s="88">
        <v>131.6</v>
      </c>
      <c r="G143" s="88">
        <v>136.30000000000001</v>
      </c>
      <c r="H143" s="88">
        <v>121.6</v>
      </c>
      <c r="I143" s="88">
        <v>135.6</v>
      </c>
      <c r="J143" s="88">
        <v>127.5</v>
      </c>
      <c r="K143" s="88">
        <v>167.9</v>
      </c>
      <c r="L143" s="88">
        <v>113.8</v>
      </c>
      <c r="M143" s="88">
        <v>137.5</v>
      </c>
      <c r="N143" s="88">
        <v>129.1</v>
      </c>
      <c r="O143" s="88">
        <v>143.6</v>
      </c>
      <c r="P143" s="88">
        <v>134.69999999999999</v>
      </c>
      <c r="Q143" s="88">
        <v>142.4</v>
      </c>
      <c r="R143" s="88">
        <v>140.4</v>
      </c>
      <c r="S143" s="88">
        <v>135.19999999999999</v>
      </c>
      <c r="T143" s="88">
        <v>139.69999999999999</v>
      </c>
      <c r="U143" s="88" t="s">
        <v>32</v>
      </c>
      <c r="V143" s="88">
        <v>132</v>
      </c>
      <c r="W143" s="88">
        <v>132.9</v>
      </c>
      <c r="X143" s="88">
        <v>129.69999999999999</v>
      </c>
      <c r="Y143" s="88">
        <v>118.6</v>
      </c>
      <c r="Z143" s="88">
        <v>127.3</v>
      </c>
      <c r="AA143" s="88">
        <v>134.19999999999999</v>
      </c>
      <c r="AB143" s="88">
        <v>121.9</v>
      </c>
      <c r="AC143" s="88">
        <v>126.3</v>
      </c>
      <c r="AD143" s="88">
        <v>132.80000000000001</v>
      </c>
      <c r="AE143" s="88">
        <f t="shared" si="18"/>
        <v>1749.1</v>
      </c>
      <c r="AF143" s="88">
        <f t="shared" si="19"/>
        <v>142.4</v>
      </c>
      <c r="AG143" s="88">
        <f t="shared" si="20"/>
        <v>415.3</v>
      </c>
      <c r="AH143" s="88">
        <f t="shared" si="21"/>
        <v>264.89999999999998</v>
      </c>
      <c r="AI143" s="88">
        <f t="shared" si="22"/>
        <v>385.79999999999995</v>
      </c>
      <c r="AJ143" s="88">
        <f t="shared" si="23"/>
        <v>118.6</v>
      </c>
      <c r="AK143" s="88">
        <f t="shared" si="24"/>
        <v>127.3</v>
      </c>
      <c r="AL143" s="88">
        <f t="shared" si="25"/>
        <v>126.3</v>
      </c>
      <c r="AM143" s="89"/>
    </row>
    <row r="144" spans="1:39" x14ac:dyDescent="0.3">
      <c r="A144" s="84" t="s">
        <v>33</v>
      </c>
      <c r="B144" s="85">
        <v>2016</v>
      </c>
      <c r="C144" s="85" t="s">
        <v>46</v>
      </c>
      <c r="D144" s="85">
        <v>131.6</v>
      </c>
      <c r="E144" s="85">
        <v>138.19999999999999</v>
      </c>
      <c r="F144" s="85">
        <v>134.9</v>
      </c>
      <c r="G144" s="85">
        <v>133.1</v>
      </c>
      <c r="H144" s="85">
        <v>113.5</v>
      </c>
      <c r="I144" s="85">
        <v>129.30000000000001</v>
      </c>
      <c r="J144" s="85">
        <v>121.1</v>
      </c>
      <c r="K144" s="85">
        <v>170.3</v>
      </c>
      <c r="L144" s="85">
        <v>115.5</v>
      </c>
      <c r="M144" s="85">
        <v>145.5</v>
      </c>
      <c r="N144" s="85">
        <v>123.1</v>
      </c>
      <c r="O144" s="85">
        <v>140.9</v>
      </c>
      <c r="P144" s="85">
        <v>132.80000000000001</v>
      </c>
      <c r="Q144" s="85">
        <v>145</v>
      </c>
      <c r="R144" s="85">
        <v>130</v>
      </c>
      <c r="S144" s="85">
        <v>122.2</v>
      </c>
      <c r="T144" s="85">
        <v>128.80000000000001</v>
      </c>
      <c r="U144" s="85">
        <v>128.5</v>
      </c>
      <c r="V144" s="85">
        <v>117.8</v>
      </c>
      <c r="W144" s="85">
        <v>125</v>
      </c>
      <c r="X144" s="85">
        <v>122.3</v>
      </c>
      <c r="Y144" s="85">
        <v>113.7</v>
      </c>
      <c r="Z144" s="85">
        <v>121.8</v>
      </c>
      <c r="AA144" s="85">
        <v>132.30000000000001</v>
      </c>
      <c r="AB144" s="85">
        <v>119.9</v>
      </c>
      <c r="AC144" s="85">
        <v>121.4</v>
      </c>
      <c r="AD144" s="85">
        <v>127.6</v>
      </c>
      <c r="AE144" s="85">
        <f t="shared" si="18"/>
        <v>1729.8</v>
      </c>
      <c r="AF144" s="85">
        <f t="shared" si="19"/>
        <v>145</v>
      </c>
      <c r="AG144" s="85">
        <f t="shared" si="20"/>
        <v>381</v>
      </c>
      <c r="AH144" s="85">
        <f t="shared" si="21"/>
        <v>371.3</v>
      </c>
      <c r="AI144" s="85">
        <f t="shared" si="22"/>
        <v>374.5</v>
      </c>
      <c r="AJ144" s="85">
        <f t="shared" si="23"/>
        <v>113.7</v>
      </c>
      <c r="AK144" s="85">
        <f t="shared" si="24"/>
        <v>121.8</v>
      </c>
      <c r="AL144" s="85">
        <f t="shared" si="25"/>
        <v>121.4</v>
      </c>
      <c r="AM144" s="86"/>
    </row>
    <row r="145" spans="1:39" x14ac:dyDescent="0.3">
      <c r="A145" s="87" t="s">
        <v>34</v>
      </c>
      <c r="B145" s="88">
        <v>2016</v>
      </c>
      <c r="C145" s="88" t="s">
        <v>46</v>
      </c>
      <c r="D145" s="88">
        <v>132.30000000000001</v>
      </c>
      <c r="E145" s="88">
        <v>137.6</v>
      </c>
      <c r="F145" s="88">
        <v>132.9</v>
      </c>
      <c r="G145" s="88">
        <v>135.1</v>
      </c>
      <c r="H145" s="88">
        <v>118.6</v>
      </c>
      <c r="I145" s="88">
        <v>132.69999999999999</v>
      </c>
      <c r="J145" s="88">
        <v>125.3</v>
      </c>
      <c r="K145" s="88">
        <v>168.7</v>
      </c>
      <c r="L145" s="88">
        <v>114.4</v>
      </c>
      <c r="M145" s="88">
        <v>140.19999999999999</v>
      </c>
      <c r="N145" s="88">
        <v>126.6</v>
      </c>
      <c r="O145" s="88">
        <v>142.30000000000001</v>
      </c>
      <c r="P145" s="88">
        <v>134</v>
      </c>
      <c r="Q145" s="88">
        <v>143.1</v>
      </c>
      <c r="R145" s="88">
        <v>136.30000000000001</v>
      </c>
      <c r="S145" s="88">
        <v>129.80000000000001</v>
      </c>
      <c r="T145" s="88">
        <v>135.4</v>
      </c>
      <c r="U145" s="88">
        <v>128.5</v>
      </c>
      <c r="V145" s="88">
        <v>126.6</v>
      </c>
      <c r="W145" s="88">
        <v>129.19999999999999</v>
      </c>
      <c r="X145" s="88">
        <v>126.9</v>
      </c>
      <c r="Y145" s="88">
        <v>116</v>
      </c>
      <c r="Z145" s="88">
        <v>124.2</v>
      </c>
      <c r="AA145" s="88">
        <v>133.1</v>
      </c>
      <c r="AB145" s="88">
        <v>121.1</v>
      </c>
      <c r="AC145" s="88">
        <v>123.9</v>
      </c>
      <c r="AD145" s="88">
        <v>130.4</v>
      </c>
      <c r="AE145" s="88">
        <f t="shared" si="18"/>
        <v>1740.7</v>
      </c>
      <c r="AF145" s="88">
        <f t="shared" si="19"/>
        <v>143.1</v>
      </c>
      <c r="AG145" s="88">
        <f t="shared" si="20"/>
        <v>401.5</v>
      </c>
      <c r="AH145" s="88">
        <f t="shared" si="21"/>
        <v>384.29999999999995</v>
      </c>
      <c r="AI145" s="88">
        <f t="shared" si="22"/>
        <v>381.1</v>
      </c>
      <c r="AJ145" s="88">
        <f t="shared" si="23"/>
        <v>116</v>
      </c>
      <c r="AK145" s="88">
        <f t="shared" si="24"/>
        <v>124.2</v>
      </c>
      <c r="AL145" s="88">
        <f t="shared" si="25"/>
        <v>123.9</v>
      </c>
      <c r="AM145" s="89"/>
    </row>
    <row r="146" spans="1:39" x14ac:dyDescent="0.3">
      <c r="A146" s="84" t="s">
        <v>30</v>
      </c>
      <c r="B146" s="85">
        <v>2017</v>
      </c>
      <c r="C146" s="85" t="s">
        <v>31</v>
      </c>
      <c r="D146" s="85">
        <v>133.1</v>
      </c>
      <c r="E146" s="85">
        <v>137.80000000000001</v>
      </c>
      <c r="F146" s="85">
        <v>131.9</v>
      </c>
      <c r="G146" s="85">
        <v>136.69999999999999</v>
      </c>
      <c r="H146" s="85">
        <v>122</v>
      </c>
      <c r="I146" s="85">
        <v>136</v>
      </c>
      <c r="J146" s="85">
        <v>119.8</v>
      </c>
      <c r="K146" s="85">
        <v>161.69999999999999</v>
      </c>
      <c r="L146" s="85">
        <v>114.8</v>
      </c>
      <c r="M146" s="85">
        <v>136.9</v>
      </c>
      <c r="N146" s="85">
        <v>129</v>
      </c>
      <c r="O146" s="85">
        <v>143.9</v>
      </c>
      <c r="P146" s="85">
        <v>133.69999999999999</v>
      </c>
      <c r="Q146" s="85">
        <v>143.1</v>
      </c>
      <c r="R146" s="85">
        <v>140.69999999999999</v>
      </c>
      <c r="S146" s="85">
        <v>135.80000000000001</v>
      </c>
      <c r="T146" s="85">
        <v>140</v>
      </c>
      <c r="U146" s="85" t="s">
        <v>32</v>
      </c>
      <c r="V146" s="85">
        <v>132.1</v>
      </c>
      <c r="W146" s="85">
        <v>133.19999999999999</v>
      </c>
      <c r="X146" s="85">
        <v>129.9</v>
      </c>
      <c r="Y146" s="85">
        <v>119.1</v>
      </c>
      <c r="Z146" s="85">
        <v>127</v>
      </c>
      <c r="AA146" s="85">
        <v>134.6</v>
      </c>
      <c r="AB146" s="85">
        <v>122.3</v>
      </c>
      <c r="AC146" s="85">
        <v>126.6</v>
      </c>
      <c r="AD146" s="85">
        <v>132.4</v>
      </c>
      <c r="AE146" s="85">
        <f t="shared" si="18"/>
        <v>1737.3000000000002</v>
      </c>
      <c r="AF146" s="85">
        <f t="shared" si="19"/>
        <v>143.1</v>
      </c>
      <c r="AG146" s="85">
        <f t="shared" si="20"/>
        <v>416.5</v>
      </c>
      <c r="AH146" s="85">
        <f t="shared" si="21"/>
        <v>265.29999999999995</v>
      </c>
      <c r="AI146" s="85">
        <f t="shared" si="22"/>
        <v>386.8</v>
      </c>
      <c r="AJ146" s="85">
        <f t="shared" si="23"/>
        <v>119.1</v>
      </c>
      <c r="AK146" s="85">
        <f t="shared" si="24"/>
        <v>127</v>
      </c>
      <c r="AL146" s="85">
        <f t="shared" si="25"/>
        <v>126.6</v>
      </c>
      <c r="AM146" s="86"/>
    </row>
    <row r="147" spans="1:39" x14ac:dyDescent="0.3">
      <c r="A147" s="87" t="s">
        <v>33</v>
      </c>
      <c r="B147" s="88">
        <v>2017</v>
      </c>
      <c r="C147" s="88" t="s">
        <v>31</v>
      </c>
      <c r="D147" s="88">
        <v>132.19999999999999</v>
      </c>
      <c r="E147" s="88">
        <v>138.9</v>
      </c>
      <c r="F147" s="88">
        <v>132.6</v>
      </c>
      <c r="G147" s="88">
        <v>133.1</v>
      </c>
      <c r="H147" s="88">
        <v>114</v>
      </c>
      <c r="I147" s="88">
        <v>129.6</v>
      </c>
      <c r="J147" s="88">
        <v>118.7</v>
      </c>
      <c r="K147" s="88">
        <v>155.1</v>
      </c>
      <c r="L147" s="88">
        <v>117.3</v>
      </c>
      <c r="M147" s="88">
        <v>144.9</v>
      </c>
      <c r="N147" s="88">
        <v>123.2</v>
      </c>
      <c r="O147" s="88">
        <v>141.6</v>
      </c>
      <c r="P147" s="88">
        <v>132</v>
      </c>
      <c r="Q147" s="88">
        <v>145.6</v>
      </c>
      <c r="R147" s="88">
        <v>130.19999999999999</v>
      </c>
      <c r="S147" s="88">
        <v>122.3</v>
      </c>
      <c r="T147" s="88">
        <v>129</v>
      </c>
      <c r="U147" s="88">
        <v>129.6</v>
      </c>
      <c r="V147" s="88">
        <v>118</v>
      </c>
      <c r="W147" s="88">
        <v>125.1</v>
      </c>
      <c r="X147" s="88">
        <v>122.6</v>
      </c>
      <c r="Y147" s="88">
        <v>115.2</v>
      </c>
      <c r="Z147" s="88">
        <v>122</v>
      </c>
      <c r="AA147" s="88">
        <v>132.4</v>
      </c>
      <c r="AB147" s="88">
        <v>120.9</v>
      </c>
      <c r="AC147" s="88">
        <v>122.1</v>
      </c>
      <c r="AD147" s="88">
        <v>127.8</v>
      </c>
      <c r="AE147" s="88">
        <f t="shared" si="18"/>
        <v>1713.2</v>
      </c>
      <c r="AF147" s="88">
        <f t="shared" si="19"/>
        <v>145.6</v>
      </c>
      <c r="AG147" s="88">
        <f t="shared" si="20"/>
        <v>381.5</v>
      </c>
      <c r="AH147" s="88">
        <f t="shared" si="21"/>
        <v>372.7</v>
      </c>
      <c r="AI147" s="88">
        <f t="shared" si="22"/>
        <v>375.9</v>
      </c>
      <c r="AJ147" s="88">
        <f t="shared" si="23"/>
        <v>115.2</v>
      </c>
      <c r="AK147" s="88">
        <f t="shared" si="24"/>
        <v>122</v>
      </c>
      <c r="AL147" s="88">
        <f t="shared" si="25"/>
        <v>122.1</v>
      </c>
      <c r="AM147" s="89"/>
    </row>
    <row r="148" spans="1:39" x14ac:dyDescent="0.3">
      <c r="A148" s="84" t="s">
        <v>34</v>
      </c>
      <c r="B148" s="85">
        <v>2017</v>
      </c>
      <c r="C148" s="85" t="s">
        <v>31</v>
      </c>
      <c r="D148" s="85">
        <v>132.80000000000001</v>
      </c>
      <c r="E148" s="85">
        <v>138.19999999999999</v>
      </c>
      <c r="F148" s="85">
        <v>132.19999999999999</v>
      </c>
      <c r="G148" s="85">
        <v>135.4</v>
      </c>
      <c r="H148" s="85">
        <v>119.1</v>
      </c>
      <c r="I148" s="85">
        <v>133</v>
      </c>
      <c r="J148" s="85">
        <v>119.4</v>
      </c>
      <c r="K148" s="85">
        <v>159.5</v>
      </c>
      <c r="L148" s="85">
        <v>115.6</v>
      </c>
      <c r="M148" s="85">
        <v>139.6</v>
      </c>
      <c r="N148" s="85">
        <v>126.6</v>
      </c>
      <c r="O148" s="85">
        <v>142.80000000000001</v>
      </c>
      <c r="P148" s="85">
        <v>133.1</v>
      </c>
      <c r="Q148" s="85">
        <v>143.80000000000001</v>
      </c>
      <c r="R148" s="85">
        <v>136.6</v>
      </c>
      <c r="S148" s="85">
        <v>130.19999999999999</v>
      </c>
      <c r="T148" s="85">
        <v>135.6</v>
      </c>
      <c r="U148" s="85">
        <v>129.6</v>
      </c>
      <c r="V148" s="85">
        <v>126.8</v>
      </c>
      <c r="W148" s="85">
        <v>129.4</v>
      </c>
      <c r="X148" s="85">
        <v>127.1</v>
      </c>
      <c r="Y148" s="85">
        <v>117</v>
      </c>
      <c r="Z148" s="85">
        <v>124.2</v>
      </c>
      <c r="AA148" s="85">
        <v>133.30000000000001</v>
      </c>
      <c r="AB148" s="85">
        <v>121.7</v>
      </c>
      <c r="AC148" s="85">
        <v>124.4</v>
      </c>
      <c r="AD148" s="85">
        <v>130.30000000000001</v>
      </c>
      <c r="AE148" s="85">
        <f t="shared" si="18"/>
        <v>1727.2999999999995</v>
      </c>
      <c r="AF148" s="85">
        <f t="shared" si="19"/>
        <v>143.80000000000001</v>
      </c>
      <c r="AG148" s="85">
        <f t="shared" si="20"/>
        <v>402.4</v>
      </c>
      <c r="AH148" s="85">
        <f t="shared" si="21"/>
        <v>385.79999999999995</v>
      </c>
      <c r="AI148" s="85">
        <f t="shared" si="22"/>
        <v>382.09999999999997</v>
      </c>
      <c r="AJ148" s="85">
        <f t="shared" si="23"/>
        <v>117</v>
      </c>
      <c r="AK148" s="85">
        <f t="shared" si="24"/>
        <v>124.2</v>
      </c>
      <c r="AL148" s="85">
        <f t="shared" si="25"/>
        <v>124.4</v>
      </c>
      <c r="AM148" s="86"/>
    </row>
    <row r="149" spans="1:39" x14ac:dyDescent="0.3">
      <c r="A149" s="87" t="s">
        <v>30</v>
      </c>
      <c r="B149" s="88">
        <v>2017</v>
      </c>
      <c r="C149" s="88" t="s">
        <v>35</v>
      </c>
      <c r="D149" s="88">
        <v>133.30000000000001</v>
      </c>
      <c r="E149" s="88">
        <v>138.30000000000001</v>
      </c>
      <c r="F149" s="88">
        <v>129.30000000000001</v>
      </c>
      <c r="G149" s="88">
        <v>137.19999999999999</v>
      </c>
      <c r="H149" s="88">
        <v>122.1</v>
      </c>
      <c r="I149" s="88">
        <v>138.69999999999999</v>
      </c>
      <c r="J149" s="88">
        <v>119.1</v>
      </c>
      <c r="K149" s="88">
        <v>156.9</v>
      </c>
      <c r="L149" s="88">
        <v>116.2</v>
      </c>
      <c r="M149" s="88">
        <v>136</v>
      </c>
      <c r="N149" s="88">
        <v>129.4</v>
      </c>
      <c r="O149" s="88">
        <v>144.4</v>
      </c>
      <c r="P149" s="88">
        <v>133.6</v>
      </c>
      <c r="Q149" s="88">
        <v>143.69999999999999</v>
      </c>
      <c r="R149" s="88">
        <v>140.9</v>
      </c>
      <c r="S149" s="88">
        <v>135.80000000000001</v>
      </c>
      <c r="T149" s="88">
        <v>140.19999999999999</v>
      </c>
      <c r="U149" s="88" t="s">
        <v>32</v>
      </c>
      <c r="V149" s="88">
        <v>133.19999999999999</v>
      </c>
      <c r="W149" s="88">
        <v>133.6</v>
      </c>
      <c r="X149" s="88">
        <v>130.1</v>
      </c>
      <c r="Y149" s="88">
        <v>119.5</v>
      </c>
      <c r="Z149" s="88">
        <v>127.7</v>
      </c>
      <c r="AA149" s="88">
        <v>134.9</v>
      </c>
      <c r="AB149" s="88">
        <v>123.2</v>
      </c>
      <c r="AC149" s="88">
        <v>127</v>
      </c>
      <c r="AD149" s="88">
        <v>132.6</v>
      </c>
      <c r="AE149" s="88">
        <f t="shared" si="18"/>
        <v>1734.5000000000002</v>
      </c>
      <c r="AF149" s="88">
        <f t="shared" si="19"/>
        <v>143.69999999999999</v>
      </c>
      <c r="AG149" s="88">
        <f t="shared" si="20"/>
        <v>416.90000000000003</v>
      </c>
      <c r="AH149" s="88">
        <f t="shared" si="21"/>
        <v>266.79999999999995</v>
      </c>
      <c r="AI149" s="88">
        <f t="shared" si="22"/>
        <v>388.2</v>
      </c>
      <c r="AJ149" s="88">
        <f t="shared" si="23"/>
        <v>119.5</v>
      </c>
      <c r="AK149" s="88">
        <f t="shared" si="24"/>
        <v>127.7</v>
      </c>
      <c r="AL149" s="88">
        <f t="shared" si="25"/>
        <v>127</v>
      </c>
      <c r="AM149" s="89"/>
    </row>
    <row r="150" spans="1:39" x14ac:dyDescent="0.3">
      <c r="A150" s="84" t="s">
        <v>33</v>
      </c>
      <c r="B150" s="85">
        <v>2017</v>
      </c>
      <c r="C150" s="85" t="s">
        <v>35</v>
      </c>
      <c r="D150" s="85">
        <v>132.80000000000001</v>
      </c>
      <c r="E150" s="85">
        <v>139.80000000000001</v>
      </c>
      <c r="F150" s="85">
        <v>129.30000000000001</v>
      </c>
      <c r="G150" s="85">
        <v>133.5</v>
      </c>
      <c r="H150" s="85">
        <v>114.3</v>
      </c>
      <c r="I150" s="85">
        <v>131.4</v>
      </c>
      <c r="J150" s="85">
        <v>120.2</v>
      </c>
      <c r="K150" s="85">
        <v>143.1</v>
      </c>
      <c r="L150" s="85">
        <v>119.5</v>
      </c>
      <c r="M150" s="85">
        <v>144</v>
      </c>
      <c r="N150" s="85">
        <v>123.4</v>
      </c>
      <c r="O150" s="85">
        <v>141.9</v>
      </c>
      <c r="P150" s="85">
        <v>132.1</v>
      </c>
      <c r="Q150" s="85">
        <v>146.30000000000001</v>
      </c>
      <c r="R150" s="85">
        <v>130.5</v>
      </c>
      <c r="S150" s="85">
        <v>122.5</v>
      </c>
      <c r="T150" s="85">
        <v>129.30000000000001</v>
      </c>
      <c r="U150" s="85">
        <v>130.5</v>
      </c>
      <c r="V150" s="85">
        <v>119.2</v>
      </c>
      <c r="W150" s="85">
        <v>125.3</v>
      </c>
      <c r="X150" s="85">
        <v>122.9</v>
      </c>
      <c r="Y150" s="85">
        <v>115.5</v>
      </c>
      <c r="Z150" s="85">
        <v>122.2</v>
      </c>
      <c r="AA150" s="85">
        <v>132.4</v>
      </c>
      <c r="AB150" s="85">
        <v>121.7</v>
      </c>
      <c r="AC150" s="85">
        <v>122.4</v>
      </c>
      <c r="AD150" s="85">
        <v>128.19999999999999</v>
      </c>
      <c r="AE150" s="85">
        <f t="shared" si="18"/>
        <v>1705.3000000000002</v>
      </c>
      <c r="AF150" s="85">
        <f t="shared" si="19"/>
        <v>146.30000000000001</v>
      </c>
      <c r="AG150" s="85">
        <f t="shared" si="20"/>
        <v>382.3</v>
      </c>
      <c r="AH150" s="85">
        <f t="shared" si="21"/>
        <v>375</v>
      </c>
      <c r="AI150" s="85">
        <f t="shared" si="22"/>
        <v>377</v>
      </c>
      <c r="AJ150" s="85">
        <f t="shared" si="23"/>
        <v>115.5</v>
      </c>
      <c r="AK150" s="85">
        <f t="shared" si="24"/>
        <v>122.2</v>
      </c>
      <c r="AL150" s="85">
        <f t="shared" si="25"/>
        <v>122.4</v>
      </c>
      <c r="AM150" s="86"/>
    </row>
    <row r="151" spans="1:39" x14ac:dyDescent="0.3">
      <c r="A151" s="87" t="s">
        <v>34</v>
      </c>
      <c r="B151" s="88">
        <v>2017</v>
      </c>
      <c r="C151" s="88" t="s">
        <v>35</v>
      </c>
      <c r="D151" s="88">
        <v>133.1</v>
      </c>
      <c r="E151" s="88">
        <v>138.80000000000001</v>
      </c>
      <c r="F151" s="88">
        <v>129.30000000000001</v>
      </c>
      <c r="G151" s="88">
        <v>135.80000000000001</v>
      </c>
      <c r="H151" s="88">
        <v>119.2</v>
      </c>
      <c r="I151" s="88">
        <v>135.30000000000001</v>
      </c>
      <c r="J151" s="88">
        <v>119.5</v>
      </c>
      <c r="K151" s="88">
        <v>152.19999999999999</v>
      </c>
      <c r="L151" s="88">
        <v>117.3</v>
      </c>
      <c r="M151" s="88">
        <v>138.69999999999999</v>
      </c>
      <c r="N151" s="88">
        <v>126.9</v>
      </c>
      <c r="O151" s="88">
        <v>143.19999999999999</v>
      </c>
      <c r="P151" s="88">
        <v>133</v>
      </c>
      <c r="Q151" s="88">
        <v>144.4</v>
      </c>
      <c r="R151" s="88">
        <v>136.80000000000001</v>
      </c>
      <c r="S151" s="88">
        <v>130.30000000000001</v>
      </c>
      <c r="T151" s="88">
        <v>135.9</v>
      </c>
      <c r="U151" s="88">
        <v>130.5</v>
      </c>
      <c r="V151" s="88">
        <v>127.9</v>
      </c>
      <c r="W151" s="88">
        <v>129.69999999999999</v>
      </c>
      <c r="X151" s="88">
        <v>127.4</v>
      </c>
      <c r="Y151" s="88">
        <v>117.4</v>
      </c>
      <c r="Z151" s="88">
        <v>124.6</v>
      </c>
      <c r="AA151" s="88">
        <v>133.4</v>
      </c>
      <c r="AB151" s="88">
        <v>122.6</v>
      </c>
      <c r="AC151" s="88">
        <v>124.8</v>
      </c>
      <c r="AD151" s="88">
        <v>130.6</v>
      </c>
      <c r="AE151" s="88">
        <f t="shared" si="18"/>
        <v>1722.3000000000002</v>
      </c>
      <c r="AF151" s="88">
        <f t="shared" si="19"/>
        <v>144.4</v>
      </c>
      <c r="AG151" s="88">
        <f t="shared" si="20"/>
        <v>403</v>
      </c>
      <c r="AH151" s="88">
        <f t="shared" si="21"/>
        <v>388.09999999999997</v>
      </c>
      <c r="AI151" s="88">
        <f t="shared" si="22"/>
        <v>383.4</v>
      </c>
      <c r="AJ151" s="88">
        <f t="shared" si="23"/>
        <v>117.4</v>
      </c>
      <c r="AK151" s="88">
        <f t="shared" si="24"/>
        <v>124.6</v>
      </c>
      <c r="AL151" s="88">
        <f t="shared" si="25"/>
        <v>124.8</v>
      </c>
      <c r="AM151" s="89"/>
    </row>
    <row r="152" spans="1:39" x14ac:dyDescent="0.3">
      <c r="A152" s="84" t="s">
        <v>30</v>
      </c>
      <c r="B152" s="85">
        <v>2017</v>
      </c>
      <c r="C152" s="85" t="s">
        <v>36</v>
      </c>
      <c r="D152" s="85">
        <v>133.6</v>
      </c>
      <c r="E152" s="85">
        <v>138.80000000000001</v>
      </c>
      <c r="F152" s="85">
        <v>128.80000000000001</v>
      </c>
      <c r="G152" s="85">
        <v>137.19999999999999</v>
      </c>
      <c r="H152" s="85">
        <v>121.6</v>
      </c>
      <c r="I152" s="85">
        <v>139.69999999999999</v>
      </c>
      <c r="J152" s="85">
        <v>119.7</v>
      </c>
      <c r="K152" s="85">
        <v>148</v>
      </c>
      <c r="L152" s="85">
        <v>116.9</v>
      </c>
      <c r="M152" s="85">
        <v>135.6</v>
      </c>
      <c r="N152" s="85">
        <v>129.80000000000001</v>
      </c>
      <c r="O152" s="85">
        <v>145.4</v>
      </c>
      <c r="P152" s="85">
        <v>133.4</v>
      </c>
      <c r="Q152" s="85">
        <v>144.19999999999999</v>
      </c>
      <c r="R152" s="85">
        <v>141.6</v>
      </c>
      <c r="S152" s="85">
        <v>136.19999999999999</v>
      </c>
      <c r="T152" s="85">
        <v>140.80000000000001</v>
      </c>
      <c r="U152" s="85" t="s">
        <v>32</v>
      </c>
      <c r="V152" s="85">
        <v>134.19999999999999</v>
      </c>
      <c r="W152" s="85">
        <v>134.1</v>
      </c>
      <c r="X152" s="85">
        <v>130.6</v>
      </c>
      <c r="Y152" s="85">
        <v>119.8</v>
      </c>
      <c r="Z152" s="85">
        <v>128.30000000000001</v>
      </c>
      <c r="AA152" s="85">
        <v>135.19999999999999</v>
      </c>
      <c r="AB152" s="85">
        <v>123.3</v>
      </c>
      <c r="AC152" s="85">
        <v>127.4</v>
      </c>
      <c r="AD152" s="85">
        <v>132.80000000000001</v>
      </c>
      <c r="AE152" s="85">
        <f t="shared" si="18"/>
        <v>1728.5000000000002</v>
      </c>
      <c r="AF152" s="85">
        <f t="shared" si="19"/>
        <v>144.19999999999999</v>
      </c>
      <c r="AG152" s="85">
        <f t="shared" si="20"/>
        <v>418.59999999999997</v>
      </c>
      <c r="AH152" s="85">
        <f t="shared" si="21"/>
        <v>268.29999999999995</v>
      </c>
      <c r="AI152" s="85">
        <f t="shared" si="22"/>
        <v>389.09999999999997</v>
      </c>
      <c r="AJ152" s="85">
        <f t="shared" si="23"/>
        <v>119.8</v>
      </c>
      <c r="AK152" s="85">
        <f t="shared" si="24"/>
        <v>128.30000000000001</v>
      </c>
      <c r="AL152" s="85">
        <f t="shared" si="25"/>
        <v>127.4</v>
      </c>
      <c r="AM152" s="86"/>
    </row>
    <row r="153" spans="1:39" x14ac:dyDescent="0.3">
      <c r="A153" s="87" t="s">
        <v>33</v>
      </c>
      <c r="B153" s="88">
        <v>2017</v>
      </c>
      <c r="C153" s="88" t="s">
        <v>36</v>
      </c>
      <c r="D153" s="88">
        <v>132.69999999999999</v>
      </c>
      <c r="E153" s="88">
        <v>139.4</v>
      </c>
      <c r="F153" s="88">
        <v>128.4</v>
      </c>
      <c r="G153" s="88">
        <v>134.9</v>
      </c>
      <c r="H153" s="88">
        <v>114</v>
      </c>
      <c r="I153" s="88">
        <v>136.80000000000001</v>
      </c>
      <c r="J153" s="88">
        <v>122.2</v>
      </c>
      <c r="K153" s="88">
        <v>135.80000000000001</v>
      </c>
      <c r="L153" s="88">
        <v>120.3</v>
      </c>
      <c r="M153" s="88">
        <v>142.6</v>
      </c>
      <c r="N153" s="88">
        <v>123.6</v>
      </c>
      <c r="O153" s="88">
        <v>142.4</v>
      </c>
      <c r="P153" s="88">
        <v>132.6</v>
      </c>
      <c r="Q153" s="88">
        <v>147.5</v>
      </c>
      <c r="R153" s="88">
        <v>130.80000000000001</v>
      </c>
      <c r="S153" s="88">
        <v>122.8</v>
      </c>
      <c r="T153" s="88">
        <v>129.6</v>
      </c>
      <c r="U153" s="88">
        <v>131.1</v>
      </c>
      <c r="V153" s="88">
        <v>120.8</v>
      </c>
      <c r="W153" s="88">
        <v>125.6</v>
      </c>
      <c r="X153" s="88">
        <v>123.1</v>
      </c>
      <c r="Y153" s="88">
        <v>115.6</v>
      </c>
      <c r="Z153" s="88">
        <v>122.4</v>
      </c>
      <c r="AA153" s="88">
        <v>132.80000000000001</v>
      </c>
      <c r="AB153" s="88">
        <v>121.7</v>
      </c>
      <c r="AC153" s="88">
        <v>122.6</v>
      </c>
      <c r="AD153" s="88">
        <v>128.69999999999999</v>
      </c>
      <c r="AE153" s="88">
        <f t="shared" si="18"/>
        <v>1705.6999999999998</v>
      </c>
      <c r="AF153" s="88">
        <f t="shared" si="19"/>
        <v>147.5</v>
      </c>
      <c r="AG153" s="88">
        <f t="shared" si="20"/>
        <v>383.20000000000005</v>
      </c>
      <c r="AH153" s="88">
        <f t="shared" si="21"/>
        <v>377.5</v>
      </c>
      <c r="AI153" s="88">
        <f t="shared" si="22"/>
        <v>377.6</v>
      </c>
      <c r="AJ153" s="88">
        <f t="shared" si="23"/>
        <v>115.6</v>
      </c>
      <c r="AK153" s="88">
        <f t="shared" si="24"/>
        <v>122.4</v>
      </c>
      <c r="AL153" s="88">
        <f t="shared" si="25"/>
        <v>122.6</v>
      </c>
      <c r="AM153" s="89"/>
    </row>
    <row r="154" spans="1:39" x14ac:dyDescent="0.3">
      <c r="A154" s="84" t="s">
        <v>34</v>
      </c>
      <c r="B154" s="85">
        <v>2017</v>
      </c>
      <c r="C154" s="85" t="s">
        <v>36</v>
      </c>
      <c r="D154" s="85">
        <v>133.30000000000001</v>
      </c>
      <c r="E154" s="85">
        <v>139</v>
      </c>
      <c r="F154" s="85">
        <v>128.6</v>
      </c>
      <c r="G154" s="85">
        <v>136.30000000000001</v>
      </c>
      <c r="H154" s="85">
        <v>118.8</v>
      </c>
      <c r="I154" s="85">
        <v>138.30000000000001</v>
      </c>
      <c r="J154" s="85">
        <v>120.5</v>
      </c>
      <c r="K154" s="85">
        <v>143.9</v>
      </c>
      <c r="L154" s="85">
        <v>118</v>
      </c>
      <c r="M154" s="85">
        <v>137.9</v>
      </c>
      <c r="N154" s="85">
        <v>127.2</v>
      </c>
      <c r="O154" s="85">
        <v>144</v>
      </c>
      <c r="P154" s="85">
        <v>133.1</v>
      </c>
      <c r="Q154" s="85">
        <v>145.1</v>
      </c>
      <c r="R154" s="85">
        <v>137.30000000000001</v>
      </c>
      <c r="S154" s="85">
        <v>130.6</v>
      </c>
      <c r="T154" s="85">
        <v>136.4</v>
      </c>
      <c r="U154" s="85">
        <v>131.1</v>
      </c>
      <c r="V154" s="85">
        <v>129.1</v>
      </c>
      <c r="W154" s="85">
        <v>130.1</v>
      </c>
      <c r="X154" s="85">
        <v>127.8</v>
      </c>
      <c r="Y154" s="85">
        <v>117.6</v>
      </c>
      <c r="Z154" s="85">
        <v>125</v>
      </c>
      <c r="AA154" s="85">
        <v>133.80000000000001</v>
      </c>
      <c r="AB154" s="85">
        <v>122.6</v>
      </c>
      <c r="AC154" s="85">
        <v>125.1</v>
      </c>
      <c r="AD154" s="85">
        <v>130.9</v>
      </c>
      <c r="AE154" s="85">
        <f t="shared" si="18"/>
        <v>1718.9</v>
      </c>
      <c r="AF154" s="85">
        <f t="shared" si="19"/>
        <v>145.1</v>
      </c>
      <c r="AG154" s="85">
        <f t="shared" si="20"/>
        <v>404.29999999999995</v>
      </c>
      <c r="AH154" s="85">
        <f t="shared" si="21"/>
        <v>390.29999999999995</v>
      </c>
      <c r="AI154" s="85">
        <f t="shared" si="22"/>
        <v>384.20000000000005</v>
      </c>
      <c r="AJ154" s="85">
        <f t="shared" si="23"/>
        <v>117.6</v>
      </c>
      <c r="AK154" s="85">
        <f t="shared" si="24"/>
        <v>125</v>
      </c>
      <c r="AL154" s="85">
        <f t="shared" si="25"/>
        <v>125.1</v>
      </c>
      <c r="AM154" s="86"/>
    </row>
    <row r="155" spans="1:39" x14ac:dyDescent="0.3">
      <c r="A155" s="87" t="s">
        <v>30</v>
      </c>
      <c r="B155" s="88">
        <v>2017</v>
      </c>
      <c r="C155" s="88" t="s">
        <v>37</v>
      </c>
      <c r="D155" s="88">
        <v>133.19999999999999</v>
      </c>
      <c r="E155" s="88">
        <v>138.69999999999999</v>
      </c>
      <c r="F155" s="88">
        <v>127.1</v>
      </c>
      <c r="G155" s="88">
        <v>137.69999999999999</v>
      </c>
      <c r="H155" s="88">
        <v>121.3</v>
      </c>
      <c r="I155" s="88">
        <v>141.80000000000001</v>
      </c>
      <c r="J155" s="88">
        <v>121.5</v>
      </c>
      <c r="K155" s="88">
        <v>144.5</v>
      </c>
      <c r="L155" s="88">
        <v>117.4</v>
      </c>
      <c r="M155" s="88">
        <v>134.1</v>
      </c>
      <c r="N155" s="88">
        <v>130</v>
      </c>
      <c r="O155" s="88">
        <v>145.5</v>
      </c>
      <c r="P155" s="88">
        <v>133.5</v>
      </c>
      <c r="Q155" s="88">
        <v>144.4</v>
      </c>
      <c r="R155" s="88">
        <v>142.4</v>
      </c>
      <c r="S155" s="88">
        <v>136.80000000000001</v>
      </c>
      <c r="T155" s="88">
        <v>141.6</v>
      </c>
      <c r="U155" s="88" t="s">
        <v>32</v>
      </c>
      <c r="V155" s="88">
        <v>135</v>
      </c>
      <c r="W155" s="88">
        <v>134.30000000000001</v>
      </c>
      <c r="X155" s="88">
        <v>131</v>
      </c>
      <c r="Y155" s="88">
        <v>119.2</v>
      </c>
      <c r="Z155" s="88">
        <v>128.30000000000001</v>
      </c>
      <c r="AA155" s="88">
        <v>135.69999999999999</v>
      </c>
      <c r="AB155" s="88">
        <v>123.7</v>
      </c>
      <c r="AC155" s="88">
        <v>127.5</v>
      </c>
      <c r="AD155" s="88">
        <v>132.9</v>
      </c>
      <c r="AE155" s="88">
        <f t="shared" si="18"/>
        <v>1726.3</v>
      </c>
      <c r="AF155" s="88">
        <f t="shared" si="19"/>
        <v>144.4</v>
      </c>
      <c r="AG155" s="88">
        <f t="shared" si="20"/>
        <v>420.80000000000007</v>
      </c>
      <c r="AH155" s="88">
        <f t="shared" si="21"/>
        <v>269.3</v>
      </c>
      <c r="AI155" s="88">
        <f t="shared" si="22"/>
        <v>390.4</v>
      </c>
      <c r="AJ155" s="88">
        <f t="shared" si="23"/>
        <v>119.2</v>
      </c>
      <c r="AK155" s="88">
        <f t="shared" si="24"/>
        <v>128.30000000000001</v>
      </c>
      <c r="AL155" s="88">
        <f t="shared" si="25"/>
        <v>127.5</v>
      </c>
      <c r="AM155" s="89"/>
    </row>
    <row r="156" spans="1:39" x14ac:dyDescent="0.3">
      <c r="A156" s="84" t="s">
        <v>33</v>
      </c>
      <c r="B156" s="85">
        <v>2017</v>
      </c>
      <c r="C156" s="85" t="s">
        <v>37</v>
      </c>
      <c r="D156" s="85">
        <v>132.69999999999999</v>
      </c>
      <c r="E156" s="85">
        <v>140.6</v>
      </c>
      <c r="F156" s="85">
        <v>124.5</v>
      </c>
      <c r="G156" s="85">
        <v>136.30000000000001</v>
      </c>
      <c r="H156" s="85">
        <v>113.5</v>
      </c>
      <c r="I156" s="85">
        <v>137.69999999999999</v>
      </c>
      <c r="J156" s="85">
        <v>127.1</v>
      </c>
      <c r="K156" s="85">
        <v>133.80000000000001</v>
      </c>
      <c r="L156" s="85">
        <v>120.8</v>
      </c>
      <c r="M156" s="85">
        <v>141.30000000000001</v>
      </c>
      <c r="N156" s="85">
        <v>123.8</v>
      </c>
      <c r="O156" s="85">
        <v>142.6</v>
      </c>
      <c r="P156" s="85">
        <v>133.4</v>
      </c>
      <c r="Q156" s="85">
        <v>148</v>
      </c>
      <c r="R156" s="85">
        <v>131.19999999999999</v>
      </c>
      <c r="S156" s="85">
        <v>123</v>
      </c>
      <c r="T156" s="85">
        <v>130</v>
      </c>
      <c r="U156" s="85">
        <v>131.69999999999999</v>
      </c>
      <c r="V156" s="85">
        <v>121.4</v>
      </c>
      <c r="W156" s="85">
        <v>126</v>
      </c>
      <c r="X156" s="85">
        <v>123.4</v>
      </c>
      <c r="Y156" s="85">
        <v>114.3</v>
      </c>
      <c r="Z156" s="85">
        <v>122.6</v>
      </c>
      <c r="AA156" s="85">
        <v>133.6</v>
      </c>
      <c r="AB156" s="85">
        <v>122.2</v>
      </c>
      <c r="AC156" s="85">
        <v>122.5</v>
      </c>
      <c r="AD156" s="85">
        <v>129.1</v>
      </c>
      <c r="AE156" s="85">
        <f t="shared" si="18"/>
        <v>1708.1</v>
      </c>
      <c r="AF156" s="85">
        <f t="shared" si="19"/>
        <v>148</v>
      </c>
      <c r="AG156" s="85">
        <f t="shared" si="20"/>
        <v>384.2</v>
      </c>
      <c r="AH156" s="85">
        <f t="shared" si="21"/>
        <v>379.1</v>
      </c>
      <c r="AI156" s="85">
        <f t="shared" si="22"/>
        <v>379.2</v>
      </c>
      <c r="AJ156" s="85">
        <f t="shared" si="23"/>
        <v>114.3</v>
      </c>
      <c r="AK156" s="85">
        <f t="shared" si="24"/>
        <v>122.6</v>
      </c>
      <c r="AL156" s="85">
        <f t="shared" si="25"/>
        <v>122.5</v>
      </c>
      <c r="AM156" s="86"/>
    </row>
    <row r="157" spans="1:39" x14ac:dyDescent="0.3">
      <c r="A157" s="87" t="s">
        <v>34</v>
      </c>
      <c r="B157" s="88">
        <v>2017</v>
      </c>
      <c r="C157" s="88" t="s">
        <v>37</v>
      </c>
      <c r="D157" s="88">
        <v>133</v>
      </c>
      <c r="E157" s="88">
        <v>139.4</v>
      </c>
      <c r="F157" s="88">
        <v>126.1</v>
      </c>
      <c r="G157" s="88">
        <v>137.19999999999999</v>
      </c>
      <c r="H157" s="88">
        <v>118.4</v>
      </c>
      <c r="I157" s="88">
        <v>139.9</v>
      </c>
      <c r="J157" s="88">
        <v>123.4</v>
      </c>
      <c r="K157" s="88">
        <v>140.9</v>
      </c>
      <c r="L157" s="88">
        <v>118.5</v>
      </c>
      <c r="M157" s="88">
        <v>136.5</v>
      </c>
      <c r="N157" s="88">
        <v>127.4</v>
      </c>
      <c r="O157" s="88">
        <v>144.19999999999999</v>
      </c>
      <c r="P157" s="88">
        <v>133.5</v>
      </c>
      <c r="Q157" s="88">
        <v>145.4</v>
      </c>
      <c r="R157" s="88">
        <v>138</v>
      </c>
      <c r="S157" s="88">
        <v>131.1</v>
      </c>
      <c r="T157" s="88">
        <v>137</v>
      </c>
      <c r="U157" s="88">
        <v>131.69999999999999</v>
      </c>
      <c r="V157" s="88">
        <v>129.80000000000001</v>
      </c>
      <c r="W157" s="88">
        <v>130.4</v>
      </c>
      <c r="X157" s="88">
        <v>128.1</v>
      </c>
      <c r="Y157" s="88">
        <v>116.6</v>
      </c>
      <c r="Z157" s="88">
        <v>125.1</v>
      </c>
      <c r="AA157" s="88">
        <v>134.5</v>
      </c>
      <c r="AB157" s="88">
        <v>123.1</v>
      </c>
      <c r="AC157" s="88">
        <v>125.1</v>
      </c>
      <c r="AD157" s="88">
        <v>131.1</v>
      </c>
      <c r="AE157" s="88">
        <f t="shared" si="18"/>
        <v>1718.4</v>
      </c>
      <c r="AF157" s="88">
        <f t="shared" si="19"/>
        <v>145.4</v>
      </c>
      <c r="AG157" s="88">
        <f t="shared" si="20"/>
        <v>406.1</v>
      </c>
      <c r="AH157" s="88">
        <f t="shared" si="21"/>
        <v>391.9</v>
      </c>
      <c r="AI157" s="88">
        <f t="shared" si="22"/>
        <v>385.70000000000005</v>
      </c>
      <c r="AJ157" s="88">
        <f t="shared" si="23"/>
        <v>116.6</v>
      </c>
      <c r="AK157" s="88">
        <f t="shared" si="24"/>
        <v>125.1</v>
      </c>
      <c r="AL157" s="88">
        <f t="shared" si="25"/>
        <v>125.1</v>
      </c>
      <c r="AM157" s="89"/>
    </row>
    <row r="158" spans="1:39" x14ac:dyDescent="0.3">
      <c r="A158" s="84" t="s">
        <v>30</v>
      </c>
      <c r="B158" s="85">
        <v>2017</v>
      </c>
      <c r="C158" s="85" t="s">
        <v>38</v>
      </c>
      <c r="D158" s="85">
        <v>133.1</v>
      </c>
      <c r="E158" s="85">
        <v>140.30000000000001</v>
      </c>
      <c r="F158" s="85">
        <v>126.8</v>
      </c>
      <c r="G158" s="85">
        <v>138.19999999999999</v>
      </c>
      <c r="H158" s="85">
        <v>120.8</v>
      </c>
      <c r="I158" s="85">
        <v>140.19999999999999</v>
      </c>
      <c r="J158" s="85">
        <v>123.8</v>
      </c>
      <c r="K158" s="85">
        <v>141.80000000000001</v>
      </c>
      <c r="L158" s="85">
        <v>118.6</v>
      </c>
      <c r="M158" s="85">
        <v>134</v>
      </c>
      <c r="N158" s="85">
        <v>130.30000000000001</v>
      </c>
      <c r="O158" s="85">
        <v>145.80000000000001</v>
      </c>
      <c r="P158" s="85">
        <v>133.80000000000001</v>
      </c>
      <c r="Q158" s="85">
        <v>145.5</v>
      </c>
      <c r="R158" s="85">
        <v>142.5</v>
      </c>
      <c r="S158" s="85">
        <v>137.30000000000001</v>
      </c>
      <c r="T158" s="85">
        <v>141.80000000000001</v>
      </c>
      <c r="U158" s="85" t="s">
        <v>32</v>
      </c>
      <c r="V158" s="85">
        <v>135</v>
      </c>
      <c r="W158" s="85">
        <v>134.9</v>
      </c>
      <c r="X158" s="85">
        <v>131.4</v>
      </c>
      <c r="Y158" s="85">
        <v>119.4</v>
      </c>
      <c r="Z158" s="85">
        <v>129.4</v>
      </c>
      <c r="AA158" s="85">
        <v>136.30000000000001</v>
      </c>
      <c r="AB158" s="85">
        <v>123.7</v>
      </c>
      <c r="AC158" s="85">
        <v>127.9</v>
      </c>
      <c r="AD158" s="85">
        <v>133.30000000000001</v>
      </c>
      <c r="AE158" s="85">
        <f t="shared" si="18"/>
        <v>1727.4999999999995</v>
      </c>
      <c r="AF158" s="85">
        <f t="shared" si="19"/>
        <v>145.5</v>
      </c>
      <c r="AG158" s="85">
        <f t="shared" si="20"/>
        <v>421.6</v>
      </c>
      <c r="AH158" s="85">
        <f t="shared" si="21"/>
        <v>269.89999999999998</v>
      </c>
      <c r="AI158" s="85">
        <f t="shared" si="22"/>
        <v>391.40000000000003</v>
      </c>
      <c r="AJ158" s="85">
        <f t="shared" si="23"/>
        <v>119.4</v>
      </c>
      <c r="AK158" s="85">
        <f t="shared" si="24"/>
        <v>129.4</v>
      </c>
      <c r="AL158" s="85">
        <f t="shared" si="25"/>
        <v>127.9</v>
      </c>
      <c r="AM158" s="86"/>
    </row>
    <row r="159" spans="1:39" x14ac:dyDescent="0.3">
      <c r="A159" s="87" t="s">
        <v>33</v>
      </c>
      <c r="B159" s="88">
        <v>2017</v>
      </c>
      <c r="C159" s="88" t="s">
        <v>38</v>
      </c>
      <c r="D159" s="88">
        <v>132.6</v>
      </c>
      <c r="E159" s="88">
        <v>144.1</v>
      </c>
      <c r="F159" s="88">
        <v>125.6</v>
      </c>
      <c r="G159" s="88">
        <v>136.80000000000001</v>
      </c>
      <c r="H159" s="88">
        <v>113.4</v>
      </c>
      <c r="I159" s="88">
        <v>135.19999999999999</v>
      </c>
      <c r="J159" s="88">
        <v>129.19999999999999</v>
      </c>
      <c r="K159" s="88">
        <v>131.5</v>
      </c>
      <c r="L159" s="88">
        <v>121</v>
      </c>
      <c r="M159" s="88">
        <v>139.9</v>
      </c>
      <c r="N159" s="88">
        <v>123.8</v>
      </c>
      <c r="O159" s="88">
        <v>142.9</v>
      </c>
      <c r="P159" s="88">
        <v>133.6</v>
      </c>
      <c r="Q159" s="88">
        <v>148.30000000000001</v>
      </c>
      <c r="R159" s="88">
        <v>131.5</v>
      </c>
      <c r="S159" s="88">
        <v>123.2</v>
      </c>
      <c r="T159" s="88">
        <v>130.19999999999999</v>
      </c>
      <c r="U159" s="88">
        <v>132.1</v>
      </c>
      <c r="V159" s="88">
        <v>120.1</v>
      </c>
      <c r="W159" s="88">
        <v>126.5</v>
      </c>
      <c r="X159" s="88">
        <v>123.6</v>
      </c>
      <c r="Y159" s="88">
        <v>114.3</v>
      </c>
      <c r="Z159" s="88">
        <v>122.8</v>
      </c>
      <c r="AA159" s="88">
        <v>133.80000000000001</v>
      </c>
      <c r="AB159" s="88">
        <v>122</v>
      </c>
      <c r="AC159" s="88">
        <v>122.6</v>
      </c>
      <c r="AD159" s="88">
        <v>129.30000000000001</v>
      </c>
      <c r="AE159" s="88">
        <f t="shared" si="18"/>
        <v>1709.6</v>
      </c>
      <c r="AF159" s="88">
        <f t="shared" si="19"/>
        <v>148.30000000000001</v>
      </c>
      <c r="AG159" s="88">
        <f t="shared" si="20"/>
        <v>384.9</v>
      </c>
      <c r="AH159" s="88">
        <f t="shared" si="21"/>
        <v>378.7</v>
      </c>
      <c r="AI159" s="88">
        <f t="shared" si="22"/>
        <v>379.4</v>
      </c>
      <c r="AJ159" s="88">
        <f t="shared" si="23"/>
        <v>114.3</v>
      </c>
      <c r="AK159" s="88">
        <f t="shared" si="24"/>
        <v>122.8</v>
      </c>
      <c r="AL159" s="88">
        <f t="shared" si="25"/>
        <v>122.6</v>
      </c>
      <c r="AM159" s="89"/>
    </row>
    <row r="160" spans="1:39" x14ac:dyDescent="0.3">
      <c r="A160" s="84" t="s">
        <v>34</v>
      </c>
      <c r="B160" s="85">
        <v>2017</v>
      </c>
      <c r="C160" s="85" t="s">
        <v>38</v>
      </c>
      <c r="D160" s="85">
        <v>132.9</v>
      </c>
      <c r="E160" s="85">
        <v>141.6</v>
      </c>
      <c r="F160" s="85">
        <v>126.3</v>
      </c>
      <c r="G160" s="85">
        <v>137.69999999999999</v>
      </c>
      <c r="H160" s="85">
        <v>118.1</v>
      </c>
      <c r="I160" s="85">
        <v>137.9</v>
      </c>
      <c r="J160" s="85">
        <v>125.6</v>
      </c>
      <c r="K160" s="85">
        <v>138.30000000000001</v>
      </c>
      <c r="L160" s="85">
        <v>119.4</v>
      </c>
      <c r="M160" s="85">
        <v>136</v>
      </c>
      <c r="N160" s="85">
        <v>127.6</v>
      </c>
      <c r="O160" s="85">
        <v>144.5</v>
      </c>
      <c r="P160" s="85">
        <v>133.69999999999999</v>
      </c>
      <c r="Q160" s="85">
        <v>146.19999999999999</v>
      </c>
      <c r="R160" s="85">
        <v>138.19999999999999</v>
      </c>
      <c r="S160" s="85">
        <v>131.4</v>
      </c>
      <c r="T160" s="85">
        <v>137.19999999999999</v>
      </c>
      <c r="U160" s="85">
        <v>132.1</v>
      </c>
      <c r="V160" s="85">
        <v>129.4</v>
      </c>
      <c r="W160" s="85">
        <v>130.9</v>
      </c>
      <c r="X160" s="85">
        <v>128.4</v>
      </c>
      <c r="Y160" s="85">
        <v>116.7</v>
      </c>
      <c r="Z160" s="85">
        <v>125.7</v>
      </c>
      <c r="AA160" s="85">
        <v>134.80000000000001</v>
      </c>
      <c r="AB160" s="85">
        <v>123</v>
      </c>
      <c r="AC160" s="85">
        <v>125.3</v>
      </c>
      <c r="AD160" s="85">
        <v>131.4</v>
      </c>
      <c r="AE160" s="85">
        <f t="shared" si="18"/>
        <v>1719.6000000000001</v>
      </c>
      <c r="AF160" s="85">
        <f t="shared" si="19"/>
        <v>146.19999999999999</v>
      </c>
      <c r="AG160" s="85">
        <f t="shared" si="20"/>
        <v>406.8</v>
      </c>
      <c r="AH160" s="85">
        <f t="shared" si="21"/>
        <v>392.4</v>
      </c>
      <c r="AI160" s="85">
        <f t="shared" si="22"/>
        <v>386.20000000000005</v>
      </c>
      <c r="AJ160" s="85">
        <f t="shared" si="23"/>
        <v>116.7</v>
      </c>
      <c r="AK160" s="85">
        <f t="shared" si="24"/>
        <v>125.7</v>
      </c>
      <c r="AL160" s="85">
        <f t="shared" si="25"/>
        <v>125.3</v>
      </c>
      <c r="AM160" s="86"/>
    </row>
    <row r="161" spans="1:39" x14ac:dyDescent="0.3">
      <c r="A161" s="87" t="s">
        <v>30</v>
      </c>
      <c r="B161" s="88">
        <v>2017</v>
      </c>
      <c r="C161" s="88" t="s">
        <v>39</v>
      </c>
      <c r="D161" s="88">
        <v>133.5</v>
      </c>
      <c r="E161" s="88">
        <v>143.69999999999999</v>
      </c>
      <c r="F161" s="88">
        <v>128</v>
      </c>
      <c r="G161" s="88">
        <v>138.6</v>
      </c>
      <c r="H161" s="88">
        <v>120.9</v>
      </c>
      <c r="I161" s="88">
        <v>140.9</v>
      </c>
      <c r="J161" s="88">
        <v>128.80000000000001</v>
      </c>
      <c r="K161" s="88">
        <v>140.19999999999999</v>
      </c>
      <c r="L161" s="88">
        <v>118.9</v>
      </c>
      <c r="M161" s="88">
        <v>133.5</v>
      </c>
      <c r="N161" s="88">
        <v>130.4</v>
      </c>
      <c r="O161" s="88">
        <v>146.5</v>
      </c>
      <c r="P161" s="88">
        <v>134.9</v>
      </c>
      <c r="Q161" s="88">
        <v>145.80000000000001</v>
      </c>
      <c r="R161" s="88">
        <v>143.1</v>
      </c>
      <c r="S161" s="88">
        <v>137.69999999999999</v>
      </c>
      <c r="T161" s="88">
        <v>142.30000000000001</v>
      </c>
      <c r="U161" s="88" t="s">
        <v>32</v>
      </c>
      <c r="V161" s="88">
        <v>134.80000000000001</v>
      </c>
      <c r="W161" s="88">
        <v>135.19999999999999</v>
      </c>
      <c r="X161" s="88">
        <v>131.30000000000001</v>
      </c>
      <c r="Y161" s="88">
        <v>119.4</v>
      </c>
      <c r="Z161" s="88">
        <v>129.80000000000001</v>
      </c>
      <c r="AA161" s="88">
        <v>136.9</v>
      </c>
      <c r="AB161" s="88">
        <v>124.1</v>
      </c>
      <c r="AC161" s="88">
        <v>128.1</v>
      </c>
      <c r="AD161" s="88">
        <v>133.9</v>
      </c>
      <c r="AE161" s="88">
        <f t="shared" si="18"/>
        <v>1738.8000000000002</v>
      </c>
      <c r="AF161" s="88">
        <f t="shared" si="19"/>
        <v>145.80000000000001</v>
      </c>
      <c r="AG161" s="88">
        <f t="shared" si="20"/>
        <v>423.09999999999997</v>
      </c>
      <c r="AH161" s="88">
        <f t="shared" si="21"/>
        <v>270</v>
      </c>
      <c r="AI161" s="88">
        <f t="shared" si="22"/>
        <v>392.30000000000007</v>
      </c>
      <c r="AJ161" s="88">
        <f t="shared" si="23"/>
        <v>119.4</v>
      </c>
      <c r="AK161" s="88">
        <f t="shared" si="24"/>
        <v>129.80000000000001</v>
      </c>
      <c r="AL161" s="88">
        <f t="shared" si="25"/>
        <v>128.1</v>
      </c>
      <c r="AM161" s="89"/>
    </row>
    <row r="162" spans="1:39" x14ac:dyDescent="0.3">
      <c r="A162" s="84" t="s">
        <v>33</v>
      </c>
      <c r="B162" s="85">
        <v>2017</v>
      </c>
      <c r="C162" s="85" t="s">
        <v>39</v>
      </c>
      <c r="D162" s="85">
        <v>132.9</v>
      </c>
      <c r="E162" s="85">
        <v>148.69999999999999</v>
      </c>
      <c r="F162" s="85">
        <v>128.30000000000001</v>
      </c>
      <c r="G162" s="85">
        <v>137.30000000000001</v>
      </c>
      <c r="H162" s="85">
        <v>113.5</v>
      </c>
      <c r="I162" s="85">
        <v>137.19999999999999</v>
      </c>
      <c r="J162" s="85">
        <v>142.19999999999999</v>
      </c>
      <c r="K162" s="85">
        <v>128.19999999999999</v>
      </c>
      <c r="L162" s="85">
        <v>120.9</v>
      </c>
      <c r="M162" s="85">
        <v>138.80000000000001</v>
      </c>
      <c r="N162" s="85">
        <v>124.2</v>
      </c>
      <c r="O162" s="85">
        <v>143.1</v>
      </c>
      <c r="P162" s="85">
        <v>135.69999999999999</v>
      </c>
      <c r="Q162" s="85">
        <v>148.6</v>
      </c>
      <c r="R162" s="85">
        <v>131.5</v>
      </c>
      <c r="S162" s="85">
        <v>123.2</v>
      </c>
      <c r="T162" s="85">
        <v>130.19999999999999</v>
      </c>
      <c r="U162" s="85">
        <v>131.4</v>
      </c>
      <c r="V162" s="85">
        <v>119</v>
      </c>
      <c r="W162" s="85">
        <v>126.8</v>
      </c>
      <c r="X162" s="85">
        <v>123.8</v>
      </c>
      <c r="Y162" s="85">
        <v>113.9</v>
      </c>
      <c r="Z162" s="85">
        <v>122.9</v>
      </c>
      <c r="AA162" s="85">
        <v>134.30000000000001</v>
      </c>
      <c r="AB162" s="85">
        <v>122.5</v>
      </c>
      <c r="AC162" s="85">
        <v>122.7</v>
      </c>
      <c r="AD162" s="85">
        <v>129.9</v>
      </c>
      <c r="AE162" s="85">
        <f t="shared" si="18"/>
        <v>1731.0000000000002</v>
      </c>
      <c r="AF162" s="85">
        <f t="shared" si="19"/>
        <v>148.6</v>
      </c>
      <c r="AG162" s="85">
        <f t="shared" si="20"/>
        <v>384.9</v>
      </c>
      <c r="AH162" s="85">
        <f t="shared" si="21"/>
        <v>377.2</v>
      </c>
      <c r="AI162" s="85">
        <f t="shared" si="22"/>
        <v>380.6</v>
      </c>
      <c r="AJ162" s="85">
        <f t="shared" si="23"/>
        <v>113.9</v>
      </c>
      <c r="AK162" s="85">
        <f t="shared" si="24"/>
        <v>122.9</v>
      </c>
      <c r="AL162" s="85">
        <f t="shared" si="25"/>
        <v>122.7</v>
      </c>
      <c r="AM162" s="86"/>
    </row>
    <row r="163" spans="1:39" x14ac:dyDescent="0.3">
      <c r="A163" s="87" t="s">
        <v>34</v>
      </c>
      <c r="B163" s="88">
        <v>2017</v>
      </c>
      <c r="C163" s="88" t="s">
        <v>39</v>
      </c>
      <c r="D163" s="88">
        <v>133.30000000000001</v>
      </c>
      <c r="E163" s="88">
        <v>145.5</v>
      </c>
      <c r="F163" s="88">
        <v>128.1</v>
      </c>
      <c r="G163" s="88">
        <v>138.1</v>
      </c>
      <c r="H163" s="88">
        <v>118.2</v>
      </c>
      <c r="I163" s="88">
        <v>139.19999999999999</v>
      </c>
      <c r="J163" s="88">
        <v>133.30000000000001</v>
      </c>
      <c r="K163" s="88">
        <v>136.19999999999999</v>
      </c>
      <c r="L163" s="88">
        <v>119.6</v>
      </c>
      <c r="M163" s="88">
        <v>135.30000000000001</v>
      </c>
      <c r="N163" s="88">
        <v>127.8</v>
      </c>
      <c r="O163" s="88">
        <v>144.9</v>
      </c>
      <c r="P163" s="88">
        <v>135.19999999999999</v>
      </c>
      <c r="Q163" s="88">
        <v>146.5</v>
      </c>
      <c r="R163" s="88">
        <v>138.5</v>
      </c>
      <c r="S163" s="88">
        <v>131.69999999999999</v>
      </c>
      <c r="T163" s="88">
        <v>137.5</v>
      </c>
      <c r="U163" s="88">
        <v>131.4</v>
      </c>
      <c r="V163" s="88">
        <v>128.80000000000001</v>
      </c>
      <c r="W163" s="88">
        <v>131.19999999999999</v>
      </c>
      <c r="X163" s="88">
        <v>128.5</v>
      </c>
      <c r="Y163" s="88">
        <v>116.5</v>
      </c>
      <c r="Z163" s="88">
        <v>125.9</v>
      </c>
      <c r="AA163" s="88">
        <v>135.4</v>
      </c>
      <c r="AB163" s="88">
        <v>123.4</v>
      </c>
      <c r="AC163" s="88">
        <v>125.5</v>
      </c>
      <c r="AD163" s="88">
        <v>132</v>
      </c>
      <c r="AE163" s="88">
        <f t="shared" si="18"/>
        <v>1734.7</v>
      </c>
      <c r="AF163" s="88">
        <f t="shared" si="19"/>
        <v>146.5</v>
      </c>
      <c r="AG163" s="88">
        <f t="shared" si="20"/>
        <v>407.7</v>
      </c>
      <c r="AH163" s="88">
        <f t="shared" si="21"/>
        <v>391.40000000000003</v>
      </c>
      <c r="AI163" s="88">
        <f t="shared" si="22"/>
        <v>387.29999999999995</v>
      </c>
      <c r="AJ163" s="88">
        <f t="shared" si="23"/>
        <v>116.5</v>
      </c>
      <c r="AK163" s="88">
        <f t="shared" si="24"/>
        <v>125.9</v>
      </c>
      <c r="AL163" s="88">
        <f t="shared" si="25"/>
        <v>125.5</v>
      </c>
      <c r="AM163" s="89"/>
    </row>
    <row r="164" spans="1:39" x14ac:dyDescent="0.3">
      <c r="A164" s="84" t="s">
        <v>30</v>
      </c>
      <c r="B164" s="85">
        <v>2017</v>
      </c>
      <c r="C164" s="85" t="s">
        <v>40</v>
      </c>
      <c r="D164" s="85">
        <v>134</v>
      </c>
      <c r="E164" s="85">
        <v>144.19999999999999</v>
      </c>
      <c r="F164" s="85">
        <v>129.80000000000001</v>
      </c>
      <c r="G164" s="85">
        <v>139</v>
      </c>
      <c r="H164" s="85">
        <v>120.9</v>
      </c>
      <c r="I164" s="85">
        <v>143.9</v>
      </c>
      <c r="J164" s="85">
        <v>151.5</v>
      </c>
      <c r="K164" s="85">
        <v>138.1</v>
      </c>
      <c r="L164" s="85">
        <v>120</v>
      </c>
      <c r="M164" s="85">
        <v>133.9</v>
      </c>
      <c r="N164" s="85">
        <v>131.4</v>
      </c>
      <c r="O164" s="85">
        <v>147.69999999999999</v>
      </c>
      <c r="P164" s="85">
        <v>138.5</v>
      </c>
      <c r="Q164" s="85">
        <v>147.4</v>
      </c>
      <c r="R164" s="85">
        <v>144.30000000000001</v>
      </c>
      <c r="S164" s="85">
        <v>138.1</v>
      </c>
      <c r="T164" s="85">
        <v>143.5</v>
      </c>
      <c r="U164" s="85" t="s">
        <v>32</v>
      </c>
      <c r="V164" s="85">
        <v>135.30000000000001</v>
      </c>
      <c r="W164" s="85">
        <v>136.1</v>
      </c>
      <c r="X164" s="85">
        <v>132.1</v>
      </c>
      <c r="Y164" s="85">
        <v>119.1</v>
      </c>
      <c r="Z164" s="85">
        <v>130.6</v>
      </c>
      <c r="AA164" s="85">
        <v>138.6</v>
      </c>
      <c r="AB164" s="85">
        <v>124.4</v>
      </c>
      <c r="AC164" s="85">
        <v>128.6</v>
      </c>
      <c r="AD164" s="85">
        <v>136.19999999999999</v>
      </c>
      <c r="AE164" s="85">
        <f t="shared" si="18"/>
        <v>1772.9</v>
      </c>
      <c r="AF164" s="85">
        <f t="shared" si="19"/>
        <v>147.4</v>
      </c>
      <c r="AG164" s="85">
        <f t="shared" si="20"/>
        <v>425.9</v>
      </c>
      <c r="AH164" s="85">
        <f t="shared" si="21"/>
        <v>271.39999999999998</v>
      </c>
      <c r="AI164" s="85">
        <f t="shared" si="22"/>
        <v>395.1</v>
      </c>
      <c r="AJ164" s="85">
        <f t="shared" si="23"/>
        <v>119.1</v>
      </c>
      <c r="AK164" s="85">
        <f t="shared" si="24"/>
        <v>130.6</v>
      </c>
      <c r="AL164" s="85">
        <f t="shared" si="25"/>
        <v>128.6</v>
      </c>
      <c r="AM164" s="86"/>
    </row>
    <row r="165" spans="1:39" x14ac:dyDescent="0.3">
      <c r="A165" s="87" t="s">
        <v>33</v>
      </c>
      <c r="B165" s="88">
        <v>2017</v>
      </c>
      <c r="C165" s="88" t="s">
        <v>40</v>
      </c>
      <c r="D165" s="88">
        <v>132.80000000000001</v>
      </c>
      <c r="E165" s="88">
        <v>148.4</v>
      </c>
      <c r="F165" s="88">
        <v>129.4</v>
      </c>
      <c r="G165" s="88">
        <v>137.69999999999999</v>
      </c>
      <c r="H165" s="88">
        <v>113.4</v>
      </c>
      <c r="I165" s="88">
        <v>139.4</v>
      </c>
      <c r="J165" s="88">
        <v>175.1</v>
      </c>
      <c r="K165" s="88">
        <v>124.7</v>
      </c>
      <c r="L165" s="88">
        <v>121.5</v>
      </c>
      <c r="M165" s="88">
        <v>137.80000000000001</v>
      </c>
      <c r="N165" s="88">
        <v>124.4</v>
      </c>
      <c r="O165" s="88">
        <v>143.69999999999999</v>
      </c>
      <c r="P165" s="88">
        <v>139.80000000000001</v>
      </c>
      <c r="Q165" s="88">
        <v>150.5</v>
      </c>
      <c r="R165" s="88">
        <v>131.6</v>
      </c>
      <c r="S165" s="88">
        <v>123.7</v>
      </c>
      <c r="T165" s="88">
        <v>130.4</v>
      </c>
      <c r="U165" s="88">
        <v>132.6</v>
      </c>
      <c r="V165" s="88">
        <v>119.7</v>
      </c>
      <c r="W165" s="88">
        <v>127.2</v>
      </c>
      <c r="X165" s="88">
        <v>125</v>
      </c>
      <c r="Y165" s="88">
        <v>113.2</v>
      </c>
      <c r="Z165" s="88">
        <v>123.5</v>
      </c>
      <c r="AA165" s="88">
        <v>135.5</v>
      </c>
      <c r="AB165" s="88">
        <v>122.4</v>
      </c>
      <c r="AC165" s="88">
        <v>123</v>
      </c>
      <c r="AD165" s="88">
        <v>131.80000000000001</v>
      </c>
      <c r="AE165" s="88">
        <f t="shared" si="18"/>
        <v>1768.1</v>
      </c>
      <c r="AF165" s="88">
        <f t="shared" si="19"/>
        <v>150.5</v>
      </c>
      <c r="AG165" s="88">
        <f t="shared" si="20"/>
        <v>385.70000000000005</v>
      </c>
      <c r="AH165" s="88">
        <f t="shared" si="21"/>
        <v>379.5</v>
      </c>
      <c r="AI165" s="88">
        <f t="shared" si="22"/>
        <v>382.9</v>
      </c>
      <c r="AJ165" s="88">
        <f t="shared" si="23"/>
        <v>113.2</v>
      </c>
      <c r="AK165" s="88">
        <f t="shared" si="24"/>
        <v>123.5</v>
      </c>
      <c r="AL165" s="88">
        <f t="shared" si="25"/>
        <v>123</v>
      </c>
      <c r="AM165" s="89"/>
    </row>
    <row r="166" spans="1:39" x14ac:dyDescent="0.3">
      <c r="A166" s="84" t="s">
        <v>34</v>
      </c>
      <c r="B166" s="85">
        <v>2017</v>
      </c>
      <c r="C166" s="85" t="s">
        <v>40</v>
      </c>
      <c r="D166" s="85">
        <v>133.6</v>
      </c>
      <c r="E166" s="85">
        <v>145.69999999999999</v>
      </c>
      <c r="F166" s="85">
        <v>129.6</v>
      </c>
      <c r="G166" s="85">
        <v>138.5</v>
      </c>
      <c r="H166" s="85">
        <v>118.1</v>
      </c>
      <c r="I166" s="85">
        <v>141.80000000000001</v>
      </c>
      <c r="J166" s="85">
        <v>159.5</v>
      </c>
      <c r="K166" s="85">
        <v>133.6</v>
      </c>
      <c r="L166" s="85">
        <v>120.5</v>
      </c>
      <c r="M166" s="85">
        <v>135.19999999999999</v>
      </c>
      <c r="N166" s="85">
        <v>128.5</v>
      </c>
      <c r="O166" s="85">
        <v>145.80000000000001</v>
      </c>
      <c r="P166" s="85">
        <v>139</v>
      </c>
      <c r="Q166" s="85">
        <v>148.19999999999999</v>
      </c>
      <c r="R166" s="85">
        <v>139.30000000000001</v>
      </c>
      <c r="S166" s="85">
        <v>132.1</v>
      </c>
      <c r="T166" s="85">
        <v>138.30000000000001</v>
      </c>
      <c r="U166" s="85">
        <v>132.6</v>
      </c>
      <c r="V166" s="85">
        <v>129.4</v>
      </c>
      <c r="W166" s="85">
        <v>131.9</v>
      </c>
      <c r="X166" s="85">
        <v>129.4</v>
      </c>
      <c r="Y166" s="85">
        <v>116</v>
      </c>
      <c r="Z166" s="85">
        <v>126.6</v>
      </c>
      <c r="AA166" s="85">
        <v>136.80000000000001</v>
      </c>
      <c r="AB166" s="85">
        <v>123.6</v>
      </c>
      <c r="AC166" s="85">
        <v>125.9</v>
      </c>
      <c r="AD166" s="85">
        <v>134.19999999999999</v>
      </c>
      <c r="AE166" s="85">
        <f t="shared" si="18"/>
        <v>1769.3999999999999</v>
      </c>
      <c r="AF166" s="85">
        <f t="shared" si="19"/>
        <v>148.19999999999999</v>
      </c>
      <c r="AG166" s="85">
        <f t="shared" si="20"/>
        <v>409.7</v>
      </c>
      <c r="AH166" s="85">
        <f t="shared" si="21"/>
        <v>393.9</v>
      </c>
      <c r="AI166" s="85">
        <f t="shared" si="22"/>
        <v>389.80000000000007</v>
      </c>
      <c r="AJ166" s="85">
        <f t="shared" si="23"/>
        <v>116</v>
      </c>
      <c r="AK166" s="85">
        <f t="shared" si="24"/>
        <v>126.6</v>
      </c>
      <c r="AL166" s="85">
        <f t="shared" si="25"/>
        <v>125.9</v>
      </c>
      <c r="AM166" s="86"/>
    </row>
    <row r="167" spans="1:39" x14ac:dyDescent="0.3">
      <c r="A167" s="87" t="s">
        <v>30</v>
      </c>
      <c r="B167" s="88">
        <v>2017</v>
      </c>
      <c r="C167" s="88" t="s">
        <v>41</v>
      </c>
      <c r="D167" s="88">
        <v>134.80000000000001</v>
      </c>
      <c r="E167" s="88">
        <v>143.1</v>
      </c>
      <c r="F167" s="88">
        <v>130</v>
      </c>
      <c r="G167" s="88">
        <v>139.4</v>
      </c>
      <c r="H167" s="88">
        <v>120.5</v>
      </c>
      <c r="I167" s="88">
        <v>148</v>
      </c>
      <c r="J167" s="88">
        <v>162.9</v>
      </c>
      <c r="K167" s="88">
        <v>137.4</v>
      </c>
      <c r="L167" s="88">
        <v>120.8</v>
      </c>
      <c r="M167" s="88">
        <v>134.69999999999999</v>
      </c>
      <c r="N167" s="88">
        <v>131.6</v>
      </c>
      <c r="O167" s="88">
        <v>148.69999999999999</v>
      </c>
      <c r="P167" s="88">
        <v>140.6</v>
      </c>
      <c r="Q167" s="88">
        <v>149</v>
      </c>
      <c r="R167" s="88">
        <v>145.30000000000001</v>
      </c>
      <c r="S167" s="88">
        <v>139.19999999999999</v>
      </c>
      <c r="T167" s="88">
        <v>144.5</v>
      </c>
      <c r="U167" s="88" t="s">
        <v>32</v>
      </c>
      <c r="V167" s="88">
        <v>136.4</v>
      </c>
      <c r="W167" s="88">
        <v>137.30000000000001</v>
      </c>
      <c r="X167" s="88">
        <v>133</v>
      </c>
      <c r="Y167" s="88">
        <v>120.3</v>
      </c>
      <c r="Z167" s="88">
        <v>131.5</v>
      </c>
      <c r="AA167" s="88">
        <v>140.19999999999999</v>
      </c>
      <c r="AB167" s="88">
        <v>125.4</v>
      </c>
      <c r="AC167" s="88">
        <v>129.69999999999999</v>
      </c>
      <c r="AD167" s="88">
        <v>137.80000000000001</v>
      </c>
      <c r="AE167" s="88">
        <f t="shared" si="18"/>
        <v>1792.4999999999998</v>
      </c>
      <c r="AF167" s="88">
        <f t="shared" si="19"/>
        <v>149</v>
      </c>
      <c r="AG167" s="88">
        <f t="shared" si="20"/>
        <v>429</v>
      </c>
      <c r="AH167" s="88">
        <f t="shared" si="21"/>
        <v>273.70000000000005</v>
      </c>
      <c r="AI167" s="88">
        <f t="shared" si="22"/>
        <v>398.6</v>
      </c>
      <c r="AJ167" s="88">
        <f t="shared" si="23"/>
        <v>120.3</v>
      </c>
      <c r="AK167" s="88">
        <f t="shared" si="24"/>
        <v>131.5</v>
      </c>
      <c r="AL167" s="88">
        <f t="shared" si="25"/>
        <v>129.69999999999999</v>
      </c>
      <c r="AM167" s="89"/>
    </row>
    <row r="168" spans="1:39" x14ac:dyDescent="0.3">
      <c r="A168" s="84" t="s">
        <v>33</v>
      </c>
      <c r="B168" s="85">
        <v>2017</v>
      </c>
      <c r="C168" s="85" t="s">
        <v>41</v>
      </c>
      <c r="D168" s="85">
        <v>133.19999999999999</v>
      </c>
      <c r="E168" s="85">
        <v>143.9</v>
      </c>
      <c r="F168" s="85">
        <v>128.30000000000001</v>
      </c>
      <c r="G168" s="85">
        <v>138.30000000000001</v>
      </c>
      <c r="H168" s="85">
        <v>114.1</v>
      </c>
      <c r="I168" s="85">
        <v>142.69999999999999</v>
      </c>
      <c r="J168" s="85">
        <v>179.8</v>
      </c>
      <c r="K168" s="85">
        <v>123.5</v>
      </c>
      <c r="L168" s="85">
        <v>122.1</v>
      </c>
      <c r="M168" s="85">
        <v>137.5</v>
      </c>
      <c r="N168" s="85">
        <v>124.6</v>
      </c>
      <c r="O168" s="85">
        <v>144.5</v>
      </c>
      <c r="P168" s="85">
        <v>140.5</v>
      </c>
      <c r="Q168" s="85">
        <v>152.1</v>
      </c>
      <c r="R168" s="85">
        <v>132.69999999999999</v>
      </c>
      <c r="S168" s="85">
        <v>124.3</v>
      </c>
      <c r="T168" s="85">
        <v>131.4</v>
      </c>
      <c r="U168" s="85">
        <v>134.4</v>
      </c>
      <c r="V168" s="85">
        <v>118.9</v>
      </c>
      <c r="W168" s="85">
        <v>127.7</v>
      </c>
      <c r="X168" s="85">
        <v>125.7</v>
      </c>
      <c r="Y168" s="85">
        <v>114.6</v>
      </c>
      <c r="Z168" s="85">
        <v>124.1</v>
      </c>
      <c r="AA168" s="85">
        <v>135.69999999999999</v>
      </c>
      <c r="AB168" s="85">
        <v>123.3</v>
      </c>
      <c r="AC168" s="85">
        <v>123.8</v>
      </c>
      <c r="AD168" s="85">
        <v>132.69999999999999</v>
      </c>
      <c r="AE168" s="85">
        <f t="shared" si="18"/>
        <v>1772.9999999999998</v>
      </c>
      <c r="AF168" s="85">
        <f t="shared" si="19"/>
        <v>152.1</v>
      </c>
      <c r="AG168" s="85">
        <f t="shared" si="20"/>
        <v>388.4</v>
      </c>
      <c r="AH168" s="85">
        <f t="shared" si="21"/>
        <v>381</v>
      </c>
      <c r="AI168" s="85">
        <f t="shared" si="22"/>
        <v>384.7</v>
      </c>
      <c r="AJ168" s="85">
        <f t="shared" si="23"/>
        <v>114.6</v>
      </c>
      <c r="AK168" s="85">
        <f t="shared" si="24"/>
        <v>124.1</v>
      </c>
      <c r="AL168" s="85">
        <f t="shared" si="25"/>
        <v>123.8</v>
      </c>
      <c r="AM168" s="86"/>
    </row>
    <row r="169" spans="1:39" x14ac:dyDescent="0.3">
      <c r="A169" s="87" t="s">
        <v>34</v>
      </c>
      <c r="B169" s="88">
        <v>2017</v>
      </c>
      <c r="C169" s="88" t="s">
        <v>41</v>
      </c>
      <c r="D169" s="88">
        <v>134.30000000000001</v>
      </c>
      <c r="E169" s="88">
        <v>143.4</v>
      </c>
      <c r="F169" s="88">
        <v>129.30000000000001</v>
      </c>
      <c r="G169" s="88">
        <v>139</v>
      </c>
      <c r="H169" s="88">
        <v>118.1</v>
      </c>
      <c r="I169" s="88">
        <v>145.5</v>
      </c>
      <c r="J169" s="88">
        <v>168.6</v>
      </c>
      <c r="K169" s="88">
        <v>132.69999999999999</v>
      </c>
      <c r="L169" s="88">
        <v>121.2</v>
      </c>
      <c r="M169" s="88">
        <v>135.6</v>
      </c>
      <c r="N169" s="88">
        <v>128.69999999999999</v>
      </c>
      <c r="O169" s="88">
        <v>146.80000000000001</v>
      </c>
      <c r="P169" s="88">
        <v>140.6</v>
      </c>
      <c r="Q169" s="88">
        <v>149.80000000000001</v>
      </c>
      <c r="R169" s="88">
        <v>140.30000000000001</v>
      </c>
      <c r="S169" s="88">
        <v>133</v>
      </c>
      <c r="T169" s="88">
        <v>139.30000000000001</v>
      </c>
      <c r="U169" s="88">
        <v>134.4</v>
      </c>
      <c r="V169" s="88">
        <v>129.80000000000001</v>
      </c>
      <c r="W169" s="88">
        <v>132.80000000000001</v>
      </c>
      <c r="X169" s="88">
        <v>130.19999999999999</v>
      </c>
      <c r="Y169" s="88">
        <v>117.3</v>
      </c>
      <c r="Z169" s="88">
        <v>127.3</v>
      </c>
      <c r="AA169" s="88">
        <v>137.6</v>
      </c>
      <c r="AB169" s="88">
        <v>124.5</v>
      </c>
      <c r="AC169" s="88">
        <v>126.8</v>
      </c>
      <c r="AD169" s="88">
        <v>135.4</v>
      </c>
      <c r="AE169" s="88">
        <f t="shared" si="18"/>
        <v>1783.8</v>
      </c>
      <c r="AF169" s="88">
        <f t="shared" si="19"/>
        <v>149.80000000000001</v>
      </c>
      <c r="AG169" s="88">
        <f t="shared" si="20"/>
        <v>412.6</v>
      </c>
      <c r="AH169" s="88">
        <f t="shared" si="21"/>
        <v>397.00000000000006</v>
      </c>
      <c r="AI169" s="88">
        <f t="shared" si="22"/>
        <v>392.29999999999995</v>
      </c>
      <c r="AJ169" s="88">
        <f t="shared" si="23"/>
        <v>117.3</v>
      </c>
      <c r="AK169" s="88">
        <f t="shared" si="24"/>
        <v>127.3</v>
      </c>
      <c r="AL169" s="88">
        <f t="shared" si="25"/>
        <v>126.8</v>
      </c>
      <c r="AM169" s="89"/>
    </row>
    <row r="170" spans="1:39" x14ac:dyDescent="0.3">
      <c r="A170" s="84" t="s">
        <v>30</v>
      </c>
      <c r="B170" s="85">
        <v>2017</v>
      </c>
      <c r="C170" s="85" t="s">
        <v>42</v>
      </c>
      <c r="D170" s="85">
        <v>135.19999999999999</v>
      </c>
      <c r="E170" s="85">
        <v>142</v>
      </c>
      <c r="F170" s="85">
        <v>130.5</v>
      </c>
      <c r="G170" s="85">
        <v>140.19999999999999</v>
      </c>
      <c r="H170" s="85">
        <v>120.7</v>
      </c>
      <c r="I170" s="85">
        <v>147.80000000000001</v>
      </c>
      <c r="J170" s="85">
        <v>154.5</v>
      </c>
      <c r="K170" s="85">
        <v>137.1</v>
      </c>
      <c r="L170" s="85">
        <v>121</v>
      </c>
      <c r="M170" s="85">
        <v>134.69999999999999</v>
      </c>
      <c r="N170" s="85">
        <v>131.69999999999999</v>
      </c>
      <c r="O170" s="85">
        <v>149.30000000000001</v>
      </c>
      <c r="P170" s="85">
        <v>139.6</v>
      </c>
      <c r="Q170" s="85">
        <v>149.80000000000001</v>
      </c>
      <c r="R170" s="85">
        <v>146.1</v>
      </c>
      <c r="S170" s="85">
        <v>139.69999999999999</v>
      </c>
      <c r="T170" s="85">
        <v>145.19999999999999</v>
      </c>
      <c r="U170" s="85" t="s">
        <v>32</v>
      </c>
      <c r="V170" s="85">
        <v>137.4</v>
      </c>
      <c r="W170" s="85">
        <v>137.9</v>
      </c>
      <c r="X170" s="85">
        <v>133.4</v>
      </c>
      <c r="Y170" s="85">
        <v>121.2</v>
      </c>
      <c r="Z170" s="85">
        <v>132.30000000000001</v>
      </c>
      <c r="AA170" s="85">
        <v>139.6</v>
      </c>
      <c r="AB170" s="85">
        <v>126.7</v>
      </c>
      <c r="AC170" s="85">
        <v>130.30000000000001</v>
      </c>
      <c r="AD170" s="85">
        <v>137.6</v>
      </c>
      <c r="AE170" s="85">
        <f t="shared" si="18"/>
        <v>1784.3</v>
      </c>
      <c r="AF170" s="85">
        <f t="shared" si="19"/>
        <v>149.80000000000001</v>
      </c>
      <c r="AG170" s="85">
        <f t="shared" si="20"/>
        <v>430.99999999999994</v>
      </c>
      <c r="AH170" s="85">
        <f t="shared" si="21"/>
        <v>275.3</v>
      </c>
      <c r="AI170" s="85">
        <f t="shared" si="22"/>
        <v>399.7</v>
      </c>
      <c r="AJ170" s="85">
        <f t="shared" si="23"/>
        <v>121.2</v>
      </c>
      <c r="AK170" s="85">
        <f t="shared" si="24"/>
        <v>132.30000000000001</v>
      </c>
      <c r="AL170" s="85">
        <f t="shared" si="25"/>
        <v>130.30000000000001</v>
      </c>
      <c r="AM170" s="86"/>
    </row>
    <row r="171" spans="1:39" x14ac:dyDescent="0.3">
      <c r="A171" s="87" t="s">
        <v>33</v>
      </c>
      <c r="B171" s="88">
        <v>2017</v>
      </c>
      <c r="C171" s="88" t="s">
        <v>42</v>
      </c>
      <c r="D171" s="88">
        <v>133.6</v>
      </c>
      <c r="E171" s="88">
        <v>143</v>
      </c>
      <c r="F171" s="88">
        <v>129.69999999999999</v>
      </c>
      <c r="G171" s="88">
        <v>138.69999999999999</v>
      </c>
      <c r="H171" s="88">
        <v>114.5</v>
      </c>
      <c r="I171" s="88">
        <v>137.5</v>
      </c>
      <c r="J171" s="88">
        <v>160.69999999999999</v>
      </c>
      <c r="K171" s="88">
        <v>124.5</v>
      </c>
      <c r="L171" s="88">
        <v>122.4</v>
      </c>
      <c r="M171" s="88">
        <v>137.30000000000001</v>
      </c>
      <c r="N171" s="88">
        <v>124.8</v>
      </c>
      <c r="O171" s="88">
        <v>145</v>
      </c>
      <c r="P171" s="88">
        <v>138</v>
      </c>
      <c r="Q171" s="88">
        <v>153.6</v>
      </c>
      <c r="R171" s="88">
        <v>133.30000000000001</v>
      </c>
      <c r="S171" s="88">
        <v>124.6</v>
      </c>
      <c r="T171" s="88">
        <v>132</v>
      </c>
      <c r="U171" s="88">
        <v>135.69999999999999</v>
      </c>
      <c r="V171" s="88">
        <v>120.6</v>
      </c>
      <c r="W171" s="88">
        <v>128.1</v>
      </c>
      <c r="X171" s="88">
        <v>126.1</v>
      </c>
      <c r="Y171" s="88">
        <v>115.7</v>
      </c>
      <c r="Z171" s="88">
        <v>124.5</v>
      </c>
      <c r="AA171" s="88">
        <v>135.9</v>
      </c>
      <c r="AB171" s="88">
        <v>124.4</v>
      </c>
      <c r="AC171" s="88">
        <v>124.5</v>
      </c>
      <c r="AD171" s="88">
        <v>132.4</v>
      </c>
      <c r="AE171" s="88">
        <f t="shared" si="18"/>
        <v>1749.7</v>
      </c>
      <c r="AF171" s="88">
        <f t="shared" si="19"/>
        <v>153.6</v>
      </c>
      <c r="AG171" s="88">
        <f t="shared" si="20"/>
        <v>389.9</v>
      </c>
      <c r="AH171" s="88">
        <f t="shared" si="21"/>
        <v>384.4</v>
      </c>
      <c r="AI171" s="88">
        <f t="shared" si="22"/>
        <v>386.4</v>
      </c>
      <c r="AJ171" s="88">
        <f t="shared" si="23"/>
        <v>115.7</v>
      </c>
      <c r="AK171" s="88">
        <f t="shared" si="24"/>
        <v>124.5</v>
      </c>
      <c r="AL171" s="88">
        <f t="shared" si="25"/>
        <v>124.5</v>
      </c>
      <c r="AM171" s="89"/>
    </row>
    <row r="172" spans="1:39" x14ac:dyDescent="0.3">
      <c r="A172" s="84" t="s">
        <v>34</v>
      </c>
      <c r="B172" s="85">
        <v>2017</v>
      </c>
      <c r="C172" s="85" t="s">
        <v>42</v>
      </c>
      <c r="D172" s="85">
        <v>134.69999999999999</v>
      </c>
      <c r="E172" s="85">
        <v>142.4</v>
      </c>
      <c r="F172" s="85">
        <v>130.19999999999999</v>
      </c>
      <c r="G172" s="85">
        <v>139.6</v>
      </c>
      <c r="H172" s="85">
        <v>118.4</v>
      </c>
      <c r="I172" s="85">
        <v>143</v>
      </c>
      <c r="J172" s="85">
        <v>156.6</v>
      </c>
      <c r="K172" s="85">
        <v>132.9</v>
      </c>
      <c r="L172" s="85">
        <v>121.5</v>
      </c>
      <c r="M172" s="85">
        <v>135.6</v>
      </c>
      <c r="N172" s="85">
        <v>128.80000000000001</v>
      </c>
      <c r="O172" s="85">
        <v>147.30000000000001</v>
      </c>
      <c r="P172" s="85">
        <v>139</v>
      </c>
      <c r="Q172" s="85">
        <v>150.80000000000001</v>
      </c>
      <c r="R172" s="85">
        <v>141.1</v>
      </c>
      <c r="S172" s="85">
        <v>133.4</v>
      </c>
      <c r="T172" s="85">
        <v>140</v>
      </c>
      <c r="U172" s="85">
        <v>135.69999999999999</v>
      </c>
      <c r="V172" s="85">
        <v>131</v>
      </c>
      <c r="W172" s="85">
        <v>133.30000000000001</v>
      </c>
      <c r="X172" s="85">
        <v>130.6</v>
      </c>
      <c r="Y172" s="85">
        <v>118.3</v>
      </c>
      <c r="Z172" s="85">
        <v>127.9</v>
      </c>
      <c r="AA172" s="85">
        <v>137.4</v>
      </c>
      <c r="AB172" s="85">
        <v>125.7</v>
      </c>
      <c r="AC172" s="85">
        <v>127.5</v>
      </c>
      <c r="AD172" s="85">
        <v>135.19999999999999</v>
      </c>
      <c r="AE172" s="85">
        <f t="shared" si="18"/>
        <v>1769.9999999999998</v>
      </c>
      <c r="AF172" s="85">
        <f t="shared" si="19"/>
        <v>150.80000000000001</v>
      </c>
      <c r="AG172" s="85">
        <f t="shared" si="20"/>
        <v>414.5</v>
      </c>
      <c r="AH172" s="85">
        <f t="shared" si="21"/>
        <v>400</v>
      </c>
      <c r="AI172" s="85">
        <f t="shared" si="22"/>
        <v>393.7</v>
      </c>
      <c r="AJ172" s="85">
        <f t="shared" si="23"/>
        <v>118.3</v>
      </c>
      <c r="AK172" s="85">
        <f t="shared" si="24"/>
        <v>127.9</v>
      </c>
      <c r="AL172" s="85">
        <f t="shared" si="25"/>
        <v>127.5</v>
      </c>
      <c r="AM172" s="86"/>
    </row>
    <row r="173" spans="1:39" x14ac:dyDescent="0.3">
      <c r="A173" s="87" t="s">
        <v>30</v>
      </c>
      <c r="B173" s="88">
        <v>2017</v>
      </c>
      <c r="C173" s="88" t="s">
        <v>43</v>
      </c>
      <c r="D173" s="88">
        <v>135.9</v>
      </c>
      <c r="E173" s="88">
        <v>141.9</v>
      </c>
      <c r="F173" s="88">
        <v>131</v>
      </c>
      <c r="G173" s="88">
        <v>141.5</v>
      </c>
      <c r="H173" s="88">
        <v>121.4</v>
      </c>
      <c r="I173" s="88">
        <v>146.69999999999999</v>
      </c>
      <c r="J173" s="88">
        <v>157.1</v>
      </c>
      <c r="K173" s="88">
        <v>136.4</v>
      </c>
      <c r="L173" s="88">
        <v>121.4</v>
      </c>
      <c r="M173" s="88">
        <v>135.6</v>
      </c>
      <c r="N173" s="88">
        <v>131.30000000000001</v>
      </c>
      <c r="O173" s="88">
        <v>150.30000000000001</v>
      </c>
      <c r="P173" s="88">
        <v>140.4</v>
      </c>
      <c r="Q173" s="88">
        <v>150.5</v>
      </c>
      <c r="R173" s="88">
        <v>147.19999999999999</v>
      </c>
      <c r="S173" s="88">
        <v>140.6</v>
      </c>
      <c r="T173" s="88">
        <v>146.19999999999999</v>
      </c>
      <c r="U173" s="88" t="s">
        <v>32</v>
      </c>
      <c r="V173" s="88">
        <v>138.1</v>
      </c>
      <c r="W173" s="88">
        <v>138.4</v>
      </c>
      <c r="X173" s="88">
        <v>134.19999999999999</v>
      </c>
      <c r="Y173" s="88">
        <v>121</v>
      </c>
      <c r="Z173" s="88">
        <v>133</v>
      </c>
      <c r="AA173" s="88">
        <v>140.1</v>
      </c>
      <c r="AB173" s="88">
        <v>127.4</v>
      </c>
      <c r="AC173" s="88">
        <v>130.69999999999999</v>
      </c>
      <c r="AD173" s="88">
        <v>138.30000000000001</v>
      </c>
      <c r="AE173" s="88">
        <f t="shared" si="18"/>
        <v>1790.8999999999999</v>
      </c>
      <c r="AF173" s="88">
        <f t="shared" si="19"/>
        <v>150.5</v>
      </c>
      <c r="AG173" s="88">
        <f t="shared" si="20"/>
        <v>433.99999999999994</v>
      </c>
      <c r="AH173" s="88">
        <f t="shared" si="21"/>
        <v>276.5</v>
      </c>
      <c r="AI173" s="88">
        <f t="shared" si="22"/>
        <v>401.69999999999993</v>
      </c>
      <c r="AJ173" s="88">
        <f t="shared" si="23"/>
        <v>121</v>
      </c>
      <c r="AK173" s="88">
        <f t="shared" si="24"/>
        <v>133</v>
      </c>
      <c r="AL173" s="88">
        <f t="shared" si="25"/>
        <v>130.69999999999999</v>
      </c>
      <c r="AM173" s="89"/>
    </row>
    <row r="174" spans="1:39" x14ac:dyDescent="0.3">
      <c r="A174" s="84" t="s">
        <v>33</v>
      </c>
      <c r="B174" s="85">
        <v>2017</v>
      </c>
      <c r="C174" s="85" t="s">
        <v>43</v>
      </c>
      <c r="D174" s="85">
        <v>133.9</v>
      </c>
      <c r="E174" s="85">
        <v>142.80000000000001</v>
      </c>
      <c r="F174" s="85">
        <v>131.4</v>
      </c>
      <c r="G174" s="85">
        <v>139.1</v>
      </c>
      <c r="H174" s="85">
        <v>114.9</v>
      </c>
      <c r="I174" s="85">
        <v>135.6</v>
      </c>
      <c r="J174" s="85">
        <v>173.2</v>
      </c>
      <c r="K174" s="85">
        <v>124.1</v>
      </c>
      <c r="L174" s="85">
        <v>122.6</v>
      </c>
      <c r="M174" s="85">
        <v>137.80000000000001</v>
      </c>
      <c r="N174" s="85">
        <v>125.1</v>
      </c>
      <c r="O174" s="85">
        <v>145.5</v>
      </c>
      <c r="P174" s="85">
        <v>139.69999999999999</v>
      </c>
      <c r="Q174" s="85">
        <v>154.6</v>
      </c>
      <c r="R174" s="85">
        <v>134</v>
      </c>
      <c r="S174" s="85">
        <v>124.9</v>
      </c>
      <c r="T174" s="85">
        <v>132.6</v>
      </c>
      <c r="U174" s="85">
        <v>137.30000000000001</v>
      </c>
      <c r="V174" s="85">
        <v>122.6</v>
      </c>
      <c r="W174" s="85">
        <v>128.30000000000001</v>
      </c>
      <c r="X174" s="85">
        <v>126.6</v>
      </c>
      <c r="Y174" s="85">
        <v>115</v>
      </c>
      <c r="Z174" s="85">
        <v>124.8</v>
      </c>
      <c r="AA174" s="85">
        <v>136.30000000000001</v>
      </c>
      <c r="AB174" s="85">
        <v>124.6</v>
      </c>
      <c r="AC174" s="85">
        <v>124.5</v>
      </c>
      <c r="AD174" s="85">
        <v>133.5</v>
      </c>
      <c r="AE174" s="85">
        <f t="shared" si="18"/>
        <v>1765.6999999999998</v>
      </c>
      <c r="AF174" s="85">
        <f t="shared" si="19"/>
        <v>154.6</v>
      </c>
      <c r="AG174" s="85">
        <f t="shared" si="20"/>
        <v>391.5</v>
      </c>
      <c r="AH174" s="85">
        <f t="shared" si="21"/>
        <v>388.2</v>
      </c>
      <c r="AI174" s="85">
        <f t="shared" si="22"/>
        <v>387.5</v>
      </c>
      <c r="AJ174" s="85">
        <f t="shared" si="23"/>
        <v>115</v>
      </c>
      <c r="AK174" s="85">
        <f t="shared" si="24"/>
        <v>124.8</v>
      </c>
      <c r="AL174" s="85">
        <f t="shared" si="25"/>
        <v>124.5</v>
      </c>
      <c r="AM174" s="86"/>
    </row>
    <row r="175" spans="1:39" x14ac:dyDescent="0.3">
      <c r="A175" s="87" t="s">
        <v>34</v>
      </c>
      <c r="B175" s="88">
        <v>2017</v>
      </c>
      <c r="C175" s="88" t="s">
        <v>43</v>
      </c>
      <c r="D175" s="88">
        <v>135.30000000000001</v>
      </c>
      <c r="E175" s="88">
        <v>142.19999999999999</v>
      </c>
      <c r="F175" s="88">
        <v>131.19999999999999</v>
      </c>
      <c r="G175" s="88">
        <v>140.6</v>
      </c>
      <c r="H175" s="88">
        <v>119</v>
      </c>
      <c r="I175" s="88">
        <v>141.5</v>
      </c>
      <c r="J175" s="88">
        <v>162.6</v>
      </c>
      <c r="K175" s="88">
        <v>132.30000000000001</v>
      </c>
      <c r="L175" s="88">
        <v>121.8</v>
      </c>
      <c r="M175" s="88">
        <v>136.30000000000001</v>
      </c>
      <c r="N175" s="88">
        <v>128.69999999999999</v>
      </c>
      <c r="O175" s="88">
        <v>148.1</v>
      </c>
      <c r="P175" s="88">
        <v>140.1</v>
      </c>
      <c r="Q175" s="88">
        <v>151.6</v>
      </c>
      <c r="R175" s="88">
        <v>142</v>
      </c>
      <c r="S175" s="88">
        <v>134.1</v>
      </c>
      <c r="T175" s="88">
        <v>140.80000000000001</v>
      </c>
      <c r="U175" s="88">
        <v>137.30000000000001</v>
      </c>
      <c r="V175" s="88">
        <v>132.19999999999999</v>
      </c>
      <c r="W175" s="88">
        <v>133.6</v>
      </c>
      <c r="X175" s="88">
        <v>131.30000000000001</v>
      </c>
      <c r="Y175" s="88">
        <v>117.8</v>
      </c>
      <c r="Z175" s="88">
        <v>128.4</v>
      </c>
      <c r="AA175" s="88">
        <v>137.9</v>
      </c>
      <c r="AB175" s="88">
        <v>126.2</v>
      </c>
      <c r="AC175" s="88">
        <v>127.7</v>
      </c>
      <c r="AD175" s="88">
        <v>136.1</v>
      </c>
      <c r="AE175" s="88">
        <f t="shared" si="18"/>
        <v>1779.6999999999998</v>
      </c>
      <c r="AF175" s="88">
        <f t="shared" si="19"/>
        <v>151.6</v>
      </c>
      <c r="AG175" s="88">
        <f t="shared" si="20"/>
        <v>416.90000000000003</v>
      </c>
      <c r="AH175" s="88">
        <f t="shared" si="21"/>
        <v>403.1</v>
      </c>
      <c r="AI175" s="88">
        <f t="shared" si="22"/>
        <v>395.40000000000003</v>
      </c>
      <c r="AJ175" s="88">
        <f t="shared" si="23"/>
        <v>117.8</v>
      </c>
      <c r="AK175" s="88">
        <f t="shared" si="24"/>
        <v>128.4</v>
      </c>
      <c r="AL175" s="88">
        <f t="shared" si="25"/>
        <v>127.7</v>
      </c>
      <c r="AM175" s="89"/>
    </row>
    <row r="176" spans="1:39" x14ac:dyDescent="0.3">
      <c r="A176" s="84" t="s">
        <v>30</v>
      </c>
      <c r="B176" s="85">
        <v>2017</v>
      </c>
      <c r="C176" s="85" t="s">
        <v>45</v>
      </c>
      <c r="D176" s="85">
        <v>136.30000000000001</v>
      </c>
      <c r="E176" s="85">
        <v>142.5</v>
      </c>
      <c r="F176" s="85">
        <v>140.5</v>
      </c>
      <c r="G176" s="85">
        <v>141.5</v>
      </c>
      <c r="H176" s="85">
        <v>121.6</v>
      </c>
      <c r="I176" s="85">
        <v>147.30000000000001</v>
      </c>
      <c r="J176" s="85">
        <v>168</v>
      </c>
      <c r="K176" s="85">
        <v>135.80000000000001</v>
      </c>
      <c r="L176" s="85">
        <v>122.5</v>
      </c>
      <c r="M176" s="85">
        <v>136</v>
      </c>
      <c r="N176" s="85">
        <v>131.9</v>
      </c>
      <c r="O176" s="85">
        <v>151.4</v>
      </c>
      <c r="P176" s="85">
        <v>142.4</v>
      </c>
      <c r="Q176" s="85">
        <v>152.1</v>
      </c>
      <c r="R176" s="85">
        <v>148.19999999999999</v>
      </c>
      <c r="S176" s="85">
        <v>141.5</v>
      </c>
      <c r="T176" s="85">
        <v>147.30000000000001</v>
      </c>
      <c r="U176" s="85" t="s">
        <v>32</v>
      </c>
      <c r="V176" s="85">
        <v>141.1</v>
      </c>
      <c r="W176" s="85">
        <v>139.4</v>
      </c>
      <c r="X176" s="85">
        <v>135.80000000000001</v>
      </c>
      <c r="Y176" s="85">
        <v>121.6</v>
      </c>
      <c r="Z176" s="85">
        <v>133.69999999999999</v>
      </c>
      <c r="AA176" s="85">
        <v>141.5</v>
      </c>
      <c r="AB176" s="85">
        <v>128.1</v>
      </c>
      <c r="AC176" s="85">
        <v>131.69999999999999</v>
      </c>
      <c r="AD176" s="85">
        <v>140</v>
      </c>
      <c r="AE176" s="85">
        <f t="shared" si="18"/>
        <v>1817.7000000000003</v>
      </c>
      <c r="AF176" s="85">
        <f t="shared" si="19"/>
        <v>152.1</v>
      </c>
      <c r="AG176" s="85">
        <f t="shared" si="20"/>
        <v>437</v>
      </c>
      <c r="AH176" s="85">
        <f t="shared" si="21"/>
        <v>280.5</v>
      </c>
      <c r="AI176" s="85">
        <f t="shared" si="22"/>
        <v>405.4</v>
      </c>
      <c r="AJ176" s="85">
        <f t="shared" si="23"/>
        <v>121.6</v>
      </c>
      <c r="AK176" s="85">
        <f t="shared" si="24"/>
        <v>133.69999999999999</v>
      </c>
      <c r="AL176" s="85">
        <f t="shared" si="25"/>
        <v>131.69999999999999</v>
      </c>
      <c r="AM176" s="86"/>
    </row>
    <row r="177" spans="1:39" x14ac:dyDescent="0.3">
      <c r="A177" s="87" t="s">
        <v>33</v>
      </c>
      <c r="B177" s="88">
        <v>2017</v>
      </c>
      <c r="C177" s="88" t="s">
        <v>45</v>
      </c>
      <c r="D177" s="88">
        <v>134.30000000000001</v>
      </c>
      <c r="E177" s="88">
        <v>142.1</v>
      </c>
      <c r="F177" s="88">
        <v>146.69999999999999</v>
      </c>
      <c r="G177" s="88">
        <v>139.5</v>
      </c>
      <c r="H177" s="88">
        <v>115.2</v>
      </c>
      <c r="I177" s="88">
        <v>136.4</v>
      </c>
      <c r="J177" s="88">
        <v>185.2</v>
      </c>
      <c r="K177" s="88">
        <v>122.2</v>
      </c>
      <c r="L177" s="88">
        <v>123.9</v>
      </c>
      <c r="M177" s="88">
        <v>138.30000000000001</v>
      </c>
      <c r="N177" s="88">
        <v>125.4</v>
      </c>
      <c r="O177" s="88">
        <v>146</v>
      </c>
      <c r="P177" s="88">
        <v>141.5</v>
      </c>
      <c r="Q177" s="88">
        <v>156.19999999999999</v>
      </c>
      <c r="R177" s="88">
        <v>135</v>
      </c>
      <c r="S177" s="88">
        <v>125.4</v>
      </c>
      <c r="T177" s="88">
        <v>133.5</v>
      </c>
      <c r="U177" s="88">
        <v>138.6</v>
      </c>
      <c r="V177" s="88">
        <v>125.7</v>
      </c>
      <c r="W177" s="88">
        <v>128.80000000000001</v>
      </c>
      <c r="X177" s="88">
        <v>127.4</v>
      </c>
      <c r="Y177" s="88">
        <v>115.3</v>
      </c>
      <c r="Z177" s="88">
        <v>125.1</v>
      </c>
      <c r="AA177" s="88">
        <v>136.6</v>
      </c>
      <c r="AB177" s="88">
        <v>124.9</v>
      </c>
      <c r="AC177" s="88">
        <v>124.9</v>
      </c>
      <c r="AD177" s="88">
        <v>134.80000000000001</v>
      </c>
      <c r="AE177" s="88">
        <f t="shared" si="18"/>
        <v>1796.7</v>
      </c>
      <c r="AF177" s="88">
        <f t="shared" si="19"/>
        <v>156.19999999999999</v>
      </c>
      <c r="AG177" s="88">
        <f t="shared" si="20"/>
        <v>393.9</v>
      </c>
      <c r="AH177" s="88">
        <f t="shared" si="21"/>
        <v>393.1</v>
      </c>
      <c r="AI177" s="88">
        <f t="shared" si="22"/>
        <v>388.9</v>
      </c>
      <c r="AJ177" s="88">
        <f t="shared" si="23"/>
        <v>115.3</v>
      </c>
      <c r="AK177" s="88">
        <f t="shared" si="24"/>
        <v>125.1</v>
      </c>
      <c r="AL177" s="88">
        <f t="shared" si="25"/>
        <v>124.9</v>
      </c>
      <c r="AM177" s="89"/>
    </row>
    <row r="178" spans="1:39" x14ac:dyDescent="0.3">
      <c r="A178" s="84" t="s">
        <v>34</v>
      </c>
      <c r="B178" s="85">
        <v>2017</v>
      </c>
      <c r="C178" s="85" t="s">
        <v>45</v>
      </c>
      <c r="D178" s="85">
        <v>135.69999999999999</v>
      </c>
      <c r="E178" s="85">
        <v>142.4</v>
      </c>
      <c r="F178" s="85">
        <v>142.9</v>
      </c>
      <c r="G178" s="85">
        <v>140.80000000000001</v>
      </c>
      <c r="H178" s="85">
        <v>119.2</v>
      </c>
      <c r="I178" s="85">
        <v>142.19999999999999</v>
      </c>
      <c r="J178" s="85">
        <v>173.8</v>
      </c>
      <c r="K178" s="85">
        <v>131.19999999999999</v>
      </c>
      <c r="L178" s="85">
        <v>123</v>
      </c>
      <c r="M178" s="85">
        <v>136.80000000000001</v>
      </c>
      <c r="N178" s="85">
        <v>129.19999999999999</v>
      </c>
      <c r="O178" s="85">
        <v>148.9</v>
      </c>
      <c r="P178" s="85">
        <v>142.1</v>
      </c>
      <c r="Q178" s="85">
        <v>153.19999999999999</v>
      </c>
      <c r="R178" s="85">
        <v>143</v>
      </c>
      <c r="S178" s="85">
        <v>134.80000000000001</v>
      </c>
      <c r="T178" s="85">
        <v>141.80000000000001</v>
      </c>
      <c r="U178" s="85">
        <v>138.6</v>
      </c>
      <c r="V178" s="85">
        <v>135.30000000000001</v>
      </c>
      <c r="W178" s="85">
        <v>134.4</v>
      </c>
      <c r="X178" s="85">
        <v>132.6</v>
      </c>
      <c r="Y178" s="85">
        <v>118.3</v>
      </c>
      <c r="Z178" s="85">
        <v>128.9</v>
      </c>
      <c r="AA178" s="85">
        <v>138.6</v>
      </c>
      <c r="AB178" s="85">
        <v>126.8</v>
      </c>
      <c r="AC178" s="85">
        <v>128.4</v>
      </c>
      <c r="AD178" s="85">
        <v>137.6</v>
      </c>
      <c r="AE178" s="85">
        <f t="shared" si="18"/>
        <v>1808.2</v>
      </c>
      <c r="AF178" s="85">
        <f t="shared" si="19"/>
        <v>153.19999999999999</v>
      </c>
      <c r="AG178" s="85">
        <f t="shared" si="20"/>
        <v>419.6</v>
      </c>
      <c r="AH178" s="85">
        <f t="shared" si="21"/>
        <v>408.29999999999995</v>
      </c>
      <c r="AI178" s="85">
        <f t="shared" si="22"/>
        <v>398</v>
      </c>
      <c r="AJ178" s="85">
        <f t="shared" si="23"/>
        <v>118.3</v>
      </c>
      <c r="AK178" s="85">
        <f t="shared" si="24"/>
        <v>128.9</v>
      </c>
      <c r="AL178" s="85">
        <f t="shared" si="25"/>
        <v>128.4</v>
      </c>
      <c r="AM178" s="86"/>
    </row>
    <row r="179" spans="1:39" x14ac:dyDescent="0.3">
      <c r="A179" s="87" t="s">
        <v>30</v>
      </c>
      <c r="B179" s="88">
        <v>2017</v>
      </c>
      <c r="C179" s="88" t="s">
        <v>46</v>
      </c>
      <c r="D179" s="88">
        <v>136.4</v>
      </c>
      <c r="E179" s="88">
        <v>143.69999999999999</v>
      </c>
      <c r="F179" s="88">
        <v>144.80000000000001</v>
      </c>
      <c r="G179" s="88">
        <v>141.9</v>
      </c>
      <c r="H179" s="88">
        <v>123.1</v>
      </c>
      <c r="I179" s="88">
        <v>147.19999999999999</v>
      </c>
      <c r="J179" s="88">
        <v>161</v>
      </c>
      <c r="K179" s="88">
        <v>133.80000000000001</v>
      </c>
      <c r="L179" s="88">
        <v>121.9</v>
      </c>
      <c r="M179" s="88">
        <v>135.80000000000001</v>
      </c>
      <c r="N179" s="88">
        <v>131.1</v>
      </c>
      <c r="O179" s="88">
        <v>151.4</v>
      </c>
      <c r="P179" s="88">
        <v>141.5</v>
      </c>
      <c r="Q179" s="88">
        <v>153.19999999999999</v>
      </c>
      <c r="R179" s="88">
        <v>148</v>
      </c>
      <c r="S179" s="88">
        <v>141.9</v>
      </c>
      <c r="T179" s="88">
        <v>147.19999999999999</v>
      </c>
      <c r="U179" s="88" t="s">
        <v>32</v>
      </c>
      <c r="V179" s="88">
        <v>142.6</v>
      </c>
      <c r="W179" s="88">
        <v>139.5</v>
      </c>
      <c r="X179" s="88">
        <v>136.1</v>
      </c>
      <c r="Y179" s="88">
        <v>122</v>
      </c>
      <c r="Z179" s="88">
        <v>133.4</v>
      </c>
      <c r="AA179" s="88">
        <v>141.1</v>
      </c>
      <c r="AB179" s="88">
        <v>127.8</v>
      </c>
      <c r="AC179" s="88">
        <v>131.9</v>
      </c>
      <c r="AD179" s="88">
        <v>139.80000000000001</v>
      </c>
      <c r="AE179" s="88">
        <f t="shared" si="18"/>
        <v>1813.6000000000001</v>
      </c>
      <c r="AF179" s="88">
        <f t="shared" si="19"/>
        <v>153.19999999999999</v>
      </c>
      <c r="AG179" s="88">
        <f t="shared" si="20"/>
        <v>437.09999999999997</v>
      </c>
      <c r="AH179" s="88">
        <f t="shared" si="21"/>
        <v>282.10000000000002</v>
      </c>
      <c r="AI179" s="88">
        <f t="shared" si="22"/>
        <v>405</v>
      </c>
      <c r="AJ179" s="88">
        <f t="shared" si="23"/>
        <v>122</v>
      </c>
      <c r="AK179" s="88">
        <f t="shared" si="24"/>
        <v>133.4</v>
      </c>
      <c r="AL179" s="88">
        <f t="shared" si="25"/>
        <v>131.9</v>
      </c>
      <c r="AM179" s="89"/>
    </row>
    <row r="180" spans="1:39" x14ac:dyDescent="0.3">
      <c r="A180" s="84" t="s">
        <v>33</v>
      </c>
      <c r="B180" s="85">
        <v>2017</v>
      </c>
      <c r="C180" s="85" t="s">
        <v>46</v>
      </c>
      <c r="D180" s="85">
        <v>134.4</v>
      </c>
      <c r="E180" s="85">
        <v>142.6</v>
      </c>
      <c r="F180" s="85">
        <v>145.9</v>
      </c>
      <c r="G180" s="85">
        <v>139.5</v>
      </c>
      <c r="H180" s="85">
        <v>115.9</v>
      </c>
      <c r="I180" s="85">
        <v>135</v>
      </c>
      <c r="J180" s="85">
        <v>163.19999999999999</v>
      </c>
      <c r="K180" s="85">
        <v>119.8</v>
      </c>
      <c r="L180" s="85">
        <v>120.7</v>
      </c>
      <c r="M180" s="85">
        <v>139.69999999999999</v>
      </c>
      <c r="N180" s="85">
        <v>125.7</v>
      </c>
      <c r="O180" s="85">
        <v>146.30000000000001</v>
      </c>
      <c r="P180" s="85">
        <v>138.80000000000001</v>
      </c>
      <c r="Q180" s="85">
        <v>157</v>
      </c>
      <c r="R180" s="85">
        <v>135.6</v>
      </c>
      <c r="S180" s="85">
        <v>125.6</v>
      </c>
      <c r="T180" s="85">
        <v>134</v>
      </c>
      <c r="U180" s="85">
        <v>139.1</v>
      </c>
      <c r="V180" s="85">
        <v>126.8</v>
      </c>
      <c r="W180" s="85">
        <v>129.30000000000001</v>
      </c>
      <c r="X180" s="85">
        <v>128.19999999999999</v>
      </c>
      <c r="Y180" s="85">
        <v>115.3</v>
      </c>
      <c r="Z180" s="85">
        <v>125.6</v>
      </c>
      <c r="AA180" s="85">
        <v>136.69999999999999</v>
      </c>
      <c r="AB180" s="85">
        <v>124.6</v>
      </c>
      <c r="AC180" s="85">
        <v>125.1</v>
      </c>
      <c r="AD180" s="85">
        <v>134.1</v>
      </c>
      <c r="AE180" s="85">
        <f t="shared" si="18"/>
        <v>1767.5</v>
      </c>
      <c r="AF180" s="85">
        <f t="shared" si="19"/>
        <v>157</v>
      </c>
      <c r="AG180" s="85">
        <f t="shared" si="20"/>
        <v>395.2</v>
      </c>
      <c r="AH180" s="85">
        <f t="shared" si="21"/>
        <v>395.2</v>
      </c>
      <c r="AI180" s="85">
        <f t="shared" si="22"/>
        <v>389.5</v>
      </c>
      <c r="AJ180" s="85">
        <f t="shared" si="23"/>
        <v>115.3</v>
      </c>
      <c r="AK180" s="85">
        <f t="shared" si="24"/>
        <v>125.6</v>
      </c>
      <c r="AL180" s="85">
        <f t="shared" si="25"/>
        <v>125.1</v>
      </c>
      <c r="AM180" s="86"/>
    </row>
    <row r="181" spans="1:39" x14ac:dyDescent="0.3">
      <c r="A181" s="87" t="s">
        <v>34</v>
      </c>
      <c r="B181" s="88">
        <v>2017</v>
      </c>
      <c r="C181" s="88" t="s">
        <v>46</v>
      </c>
      <c r="D181" s="88">
        <v>135.80000000000001</v>
      </c>
      <c r="E181" s="88">
        <v>143.30000000000001</v>
      </c>
      <c r="F181" s="88">
        <v>145.19999999999999</v>
      </c>
      <c r="G181" s="88">
        <v>141</v>
      </c>
      <c r="H181" s="88">
        <v>120.5</v>
      </c>
      <c r="I181" s="88">
        <v>141.5</v>
      </c>
      <c r="J181" s="88">
        <v>161.69999999999999</v>
      </c>
      <c r="K181" s="88">
        <v>129.1</v>
      </c>
      <c r="L181" s="88">
        <v>121.5</v>
      </c>
      <c r="M181" s="88">
        <v>137.1</v>
      </c>
      <c r="N181" s="88">
        <v>128.80000000000001</v>
      </c>
      <c r="O181" s="88">
        <v>149</v>
      </c>
      <c r="P181" s="88">
        <v>140.5</v>
      </c>
      <c r="Q181" s="88">
        <v>154.19999999999999</v>
      </c>
      <c r="R181" s="88">
        <v>143.1</v>
      </c>
      <c r="S181" s="88">
        <v>135.1</v>
      </c>
      <c r="T181" s="88">
        <v>142</v>
      </c>
      <c r="U181" s="88">
        <v>139.1</v>
      </c>
      <c r="V181" s="88">
        <v>136.6</v>
      </c>
      <c r="W181" s="88">
        <v>134.69999999999999</v>
      </c>
      <c r="X181" s="88">
        <v>133.1</v>
      </c>
      <c r="Y181" s="88">
        <v>118.5</v>
      </c>
      <c r="Z181" s="88">
        <v>129</v>
      </c>
      <c r="AA181" s="88">
        <v>138.5</v>
      </c>
      <c r="AB181" s="88">
        <v>126.5</v>
      </c>
      <c r="AC181" s="88">
        <v>128.6</v>
      </c>
      <c r="AD181" s="88">
        <v>137.19999999999999</v>
      </c>
      <c r="AE181" s="88">
        <f t="shared" si="18"/>
        <v>1794.9999999999998</v>
      </c>
      <c r="AF181" s="88">
        <f t="shared" si="19"/>
        <v>154.19999999999999</v>
      </c>
      <c r="AG181" s="88">
        <f t="shared" si="20"/>
        <v>420.2</v>
      </c>
      <c r="AH181" s="88">
        <f t="shared" si="21"/>
        <v>410.4</v>
      </c>
      <c r="AI181" s="88">
        <f t="shared" si="22"/>
        <v>398.1</v>
      </c>
      <c r="AJ181" s="88">
        <f t="shared" si="23"/>
        <v>118.5</v>
      </c>
      <c r="AK181" s="88">
        <f t="shared" si="24"/>
        <v>129</v>
      </c>
      <c r="AL181" s="88">
        <f t="shared" si="25"/>
        <v>128.6</v>
      </c>
      <c r="AM181" s="89"/>
    </row>
    <row r="182" spans="1:39" x14ac:dyDescent="0.3">
      <c r="A182" s="84" t="s">
        <v>30</v>
      </c>
      <c r="B182" s="85">
        <v>2018</v>
      </c>
      <c r="C182" s="85" t="s">
        <v>31</v>
      </c>
      <c r="D182" s="85">
        <v>136.6</v>
      </c>
      <c r="E182" s="85">
        <v>144.4</v>
      </c>
      <c r="F182" s="85">
        <v>143.80000000000001</v>
      </c>
      <c r="G182" s="85">
        <v>142</v>
      </c>
      <c r="H182" s="85">
        <v>123.2</v>
      </c>
      <c r="I182" s="85">
        <v>147.9</v>
      </c>
      <c r="J182" s="85">
        <v>152.1</v>
      </c>
      <c r="K182" s="85">
        <v>131.80000000000001</v>
      </c>
      <c r="L182" s="85">
        <v>119.5</v>
      </c>
      <c r="M182" s="85">
        <v>136</v>
      </c>
      <c r="N182" s="85">
        <v>131.19999999999999</v>
      </c>
      <c r="O182" s="85">
        <v>151.80000000000001</v>
      </c>
      <c r="P182" s="85">
        <v>140.4</v>
      </c>
      <c r="Q182" s="85">
        <v>153.6</v>
      </c>
      <c r="R182" s="85">
        <v>148.30000000000001</v>
      </c>
      <c r="S182" s="85">
        <v>142.30000000000001</v>
      </c>
      <c r="T182" s="85">
        <v>147.5</v>
      </c>
      <c r="U182" s="85" t="s">
        <v>32</v>
      </c>
      <c r="V182" s="85">
        <v>142.30000000000001</v>
      </c>
      <c r="W182" s="85">
        <v>139.80000000000001</v>
      </c>
      <c r="X182" s="85">
        <v>136</v>
      </c>
      <c r="Y182" s="85">
        <v>122.7</v>
      </c>
      <c r="Z182" s="85">
        <v>134.30000000000001</v>
      </c>
      <c r="AA182" s="85">
        <v>141.6</v>
      </c>
      <c r="AB182" s="85">
        <v>128.6</v>
      </c>
      <c r="AC182" s="85">
        <v>132.30000000000001</v>
      </c>
      <c r="AD182" s="85">
        <v>139.30000000000001</v>
      </c>
      <c r="AE182" s="85">
        <f t="shared" si="18"/>
        <v>1800.7</v>
      </c>
      <c r="AF182" s="85">
        <f t="shared" si="19"/>
        <v>153.6</v>
      </c>
      <c r="AG182" s="85">
        <f t="shared" si="20"/>
        <v>438.1</v>
      </c>
      <c r="AH182" s="85">
        <f t="shared" si="21"/>
        <v>282.10000000000002</v>
      </c>
      <c r="AI182" s="85">
        <f t="shared" si="22"/>
        <v>406.20000000000005</v>
      </c>
      <c r="AJ182" s="85">
        <f t="shared" si="23"/>
        <v>122.7</v>
      </c>
      <c r="AK182" s="85">
        <f t="shared" si="24"/>
        <v>134.30000000000001</v>
      </c>
      <c r="AL182" s="85">
        <f t="shared" si="25"/>
        <v>132.30000000000001</v>
      </c>
      <c r="AM182" s="86"/>
    </row>
    <row r="183" spans="1:39" x14ac:dyDescent="0.3">
      <c r="A183" s="87" t="s">
        <v>33</v>
      </c>
      <c r="B183" s="88">
        <v>2018</v>
      </c>
      <c r="C183" s="88" t="s">
        <v>31</v>
      </c>
      <c r="D183" s="88">
        <v>134.6</v>
      </c>
      <c r="E183" s="88">
        <v>143.69999999999999</v>
      </c>
      <c r="F183" s="88">
        <v>143.6</v>
      </c>
      <c r="G183" s="88">
        <v>139.6</v>
      </c>
      <c r="H183" s="88">
        <v>116.4</v>
      </c>
      <c r="I183" s="88">
        <v>133.80000000000001</v>
      </c>
      <c r="J183" s="88">
        <v>150.5</v>
      </c>
      <c r="K183" s="88">
        <v>118.4</v>
      </c>
      <c r="L183" s="88">
        <v>117.3</v>
      </c>
      <c r="M183" s="88">
        <v>140.5</v>
      </c>
      <c r="N183" s="88">
        <v>125.9</v>
      </c>
      <c r="O183" s="88">
        <v>146.80000000000001</v>
      </c>
      <c r="P183" s="88">
        <v>137.19999999999999</v>
      </c>
      <c r="Q183" s="88">
        <v>157.69999999999999</v>
      </c>
      <c r="R183" s="88">
        <v>136</v>
      </c>
      <c r="S183" s="88">
        <v>125.9</v>
      </c>
      <c r="T183" s="88">
        <v>134.4</v>
      </c>
      <c r="U183" s="88">
        <v>140.4</v>
      </c>
      <c r="V183" s="88">
        <v>127.3</v>
      </c>
      <c r="W183" s="88">
        <v>129.5</v>
      </c>
      <c r="X183" s="88">
        <v>129</v>
      </c>
      <c r="Y183" s="88">
        <v>116.3</v>
      </c>
      <c r="Z183" s="88">
        <v>126.2</v>
      </c>
      <c r="AA183" s="88">
        <v>137.1</v>
      </c>
      <c r="AB183" s="88">
        <v>125.5</v>
      </c>
      <c r="AC183" s="88">
        <v>125.8</v>
      </c>
      <c r="AD183" s="88">
        <v>134.1</v>
      </c>
      <c r="AE183" s="88">
        <f t="shared" si="18"/>
        <v>1748.3000000000002</v>
      </c>
      <c r="AF183" s="88">
        <f t="shared" si="19"/>
        <v>157.69999999999999</v>
      </c>
      <c r="AG183" s="88">
        <f t="shared" si="20"/>
        <v>396.29999999999995</v>
      </c>
      <c r="AH183" s="88">
        <f t="shared" si="21"/>
        <v>397.2</v>
      </c>
      <c r="AI183" s="88">
        <f t="shared" si="22"/>
        <v>391.6</v>
      </c>
      <c r="AJ183" s="88">
        <f t="shared" si="23"/>
        <v>116.3</v>
      </c>
      <c r="AK183" s="88">
        <f t="shared" si="24"/>
        <v>126.2</v>
      </c>
      <c r="AL183" s="88">
        <f t="shared" si="25"/>
        <v>125.8</v>
      </c>
      <c r="AM183" s="89"/>
    </row>
    <row r="184" spans="1:39" x14ac:dyDescent="0.3">
      <c r="A184" s="84" t="s">
        <v>34</v>
      </c>
      <c r="B184" s="85">
        <v>2018</v>
      </c>
      <c r="C184" s="85" t="s">
        <v>31</v>
      </c>
      <c r="D184" s="85">
        <v>136</v>
      </c>
      <c r="E184" s="85">
        <v>144.19999999999999</v>
      </c>
      <c r="F184" s="85">
        <v>143.69999999999999</v>
      </c>
      <c r="G184" s="85">
        <v>141.1</v>
      </c>
      <c r="H184" s="85">
        <v>120.7</v>
      </c>
      <c r="I184" s="85">
        <v>141.30000000000001</v>
      </c>
      <c r="J184" s="85">
        <v>151.6</v>
      </c>
      <c r="K184" s="85">
        <v>127.3</v>
      </c>
      <c r="L184" s="85">
        <v>118.8</v>
      </c>
      <c r="M184" s="85">
        <v>137.5</v>
      </c>
      <c r="N184" s="85">
        <v>129</v>
      </c>
      <c r="O184" s="85">
        <v>149.5</v>
      </c>
      <c r="P184" s="85">
        <v>139.19999999999999</v>
      </c>
      <c r="Q184" s="85">
        <v>154.69999999999999</v>
      </c>
      <c r="R184" s="85">
        <v>143.5</v>
      </c>
      <c r="S184" s="85">
        <v>135.5</v>
      </c>
      <c r="T184" s="85">
        <v>142.30000000000001</v>
      </c>
      <c r="U184" s="85">
        <v>140.4</v>
      </c>
      <c r="V184" s="85">
        <v>136.6</v>
      </c>
      <c r="W184" s="85">
        <v>134.9</v>
      </c>
      <c r="X184" s="85">
        <v>133.30000000000001</v>
      </c>
      <c r="Y184" s="85">
        <v>119.3</v>
      </c>
      <c r="Z184" s="85">
        <v>129.69999999999999</v>
      </c>
      <c r="AA184" s="85">
        <v>139</v>
      </c>
      <c r="AB184" s="85">
        <v>127.3</v>
      </c>
      <c r="AC184" s="85">
        <v>129.1</v>
      </c>
      <c r="AD184" s="85">
        <v>136.9</v>
      </c>
      <c r="AE184" s="85">
        <f t="shared" si="18"/>
        <v>1779.9</v>
      </c>
      <c r="AF184" s="85">
        <f t="shared" si="19"/>
        <v>154.69999999999999</v>
      </c>
      <c r="AG184" s="85">
        <f t="shared" si="20"/>
        <v>421.3</v>
      </c>
      <c r="AH184" s="85">
        <f t="shared" si="21"/>
        <v>411.9</v>
      </c>
      <c r="AI184" s="85">
        <f t="shared" si="22"/>
        <v>399.6</v>
      </c>
      <c r="AJ184" s="85">
        <f t="shared" si="23"/>
        <v>119.3</v>
      </c>
      <c r="AK184" s="85">
        <f t="shared" si="24"/>
        <v>129.69999999999999</v>
      </c>
      <c r="AL184" s="85">
        <f t="shared" si="25"/>
        <v>129.1</v>
      </c>
      <c r="AM184" s="86"/>
    </row>
    <row r="185" spans="1:39" x14ac:dyDescent="0.3">
      <c r="A185" s="87" t="s">
        <v>30</v>
      </c>
      <c r="B185" s="88">
        <v>2018</v>
      </c>
      <c r="C185" s="88" t="s">
        <v>35</v>
      </c>
      <c r="D185" s="88">
        <v>136.4</v>
      </c>
      <c r="E185" s="88">
        <v>143.69999999999999</v>
      </c>
      <c r="F185" s="88">
        <v>140.6</v>
      </c>
      <c r="G185" s="88">
        <v>141.5</v>
      </c>
      <c r="H185" s="88">
        <v>122.9</v>
      </c>
      <c r="I185" s="88">
        <v>149.4</v>
      </c>
      <c r="J185" s="88">
        <v>142.4</v>
      </c>
      <c r="K185" s="88">
        <v>130.19999999999999</v>
      </c>
      <c r="L185" s="88">
        <v>117.9</v>
      </c>
      <c r="M185" s="88">
        <v>135.6</v>
      </c>
      <c r="N185" s="88">
        <v>130.5</v>
      </c>
      <c r="O185" s="88">
        <v>151.69999999999999</v>
      </c>
      <c r="P185" s="88">
        <v>138.69999999999999</v>
      </c>
      <c r="Q185" s="88">
        <v>153.30000000000001</v>
      </c>
      <c r="R185" s="88">
        <v>148.69999999999999</v>
      </c>
      <c r="S185" s="88">
        <v>142.4</v>
      </c>
      <c r="T185" s="88">
        <v>147.80000000000001</v>
      </c>
      <c r="U185" s="88" t="s">
        <v>32</v>
      </c>
      <c r="V185" s="88">
        <v>142.4</v>
      </c>
      <c r="W185" s="88">
        <v>139.9</v>
      </c>
      <c r="X185" s="88">
        <v>136.19999999999999</v>
      </c>
      <c r="Y185" s="88">
        <v>123.3</v>
      </c>
      <c r="Z185" s="88">
        <v>134.30000000000001</v>
      </c>
      <c r="AA185" s="88">
        <v>141.5</v>
      </c>
      <c r="AB185" s="88">
        <v>128.80000000000001</v>
      </c>
      <c r="AC185" s="88">
        <v>132.5</v>
      </c>
      <c r="AD185" s="88">
        <v>138.5</v>
      </c>
      <c r="AE185" s="88">
        <f t="shared" si="18"/>
        <v>1781.5</v>
      </c>
      <c r="AF185" s="88">
        <f t="shared" si="19"/>
        <v>153.30000000000001</v>
      </c>
      <c r="AG185" s="88">
        <f t="shared" si="20"/>
        <v>438.90000000000003</v>
      </c>
      <c r="AH185" s="88">
        <f t="shared" si="21"/>
        <v>282.3</v>
      </c>
      <c r="AI185" s="88">
        <f t="shared" si="22"/>
        <v>406.5</v>
      </c>
      <c r="AJ185" s="88">
        <f t="shared" si="23"/>
        <v>123.3</v>
      </c>
      <c r="AK185" s="88">
        <f t="shared" si="24"/>
        <v>134.30000000000001</v>
      </c>
      <c r="AL185" s="88">
        <f t="shared" si="25"/>
        <v>132.5</v>
      </c>
      <c r="AM185" s="89"/>
    </row>
    <row r="186" spans="1:39" x14ac:dyDescent="0.3">
      <c r="A186" s="84" t="s">
        <v>33</v>
      </c>
      <c r="B186" s="85">
        <v>2018</v>
      </c>
      <c r="C186" s="85" t="s">
        <v>35</v>
      </c>
      <c r="D186" s="85">
        <v>134.80000000000001</v>
      </c>
      <c r="E186" s="85">
        <v>143</v>
      </c>
      <c r="F186" s="85">
        <v>139.9</v>
      </c>
      <c r="G186" s="85">
        <v>139.9</v>
      </c>
      <c r="H186" s="85">
        <v>116.2</v>
      </c>
      <c r="I186" s="85">
        <v>135.5</v>
      </c>
      <c r="J186" s="85">
        <v>136.9</v>
      </c>
      <c r="K186" s="85">
        <v>117</v>
      </c>
      <c r="L186" s="85">
        <v>115.4</v>
      </c>
      <c r="M186" s="85">
        <v>140.69999999999999</v>
      </c>
      <c r="N186" s="85">
        <v>125.9</v>
      </c>
      <c r="O186" s="85">
        <v>147.1</v>
      </c>
      <c r="P186" s="85">
        <v>135.6</v>
      </c>
      <c r="Q186" s="85">
        <v>159.30000000000001</v>
      </c>
      <c r="R186" s="85">
        <v>136.30000000000001</v>
      </c>
      <c r="S186" s="85">
        <v>126.1</v>
      </c>
      <c r="T186" s="85">
        <v>134.69999999999999</v>
      </c>
      <c r="U186" s="85">
        <v>141.30000000000001</v>
      </c>
      <c r="V186" s="85">
        <v>127.3</v>
      </c>
      <c r="W186" s="85">
        <v>129.9</v>
      </c>
      <c r="X186" s="85">
        <v>129.80000000000001</v>
      </c>
      <c r="Y186" s="85">
        <v>117.4</v>
      </c>
      <c r="Z186" s="85">
        <v>126.5</v>
      </c>
      <c r="AA186" s="85">
        <v>137.19999999999999</v>
      </c>
      <c r="AB186" s="85">
        <v>126.2</v>
      </c>
      <c r="AC186" s="85">
        <v>126.5</v>
      </c>
      <c r="AD186" s="85">
        <v>134</v>
      </c>
      <c r="AE186" s="85">
        <f t="shared" si="18"/>
        <v>1727.9</v>
      </c>
      <c r="AF186" s="85">
        <f t="shared" si="19"/>
        <v>159.30000000000001</v>
      </c>
      <c r="AG186" s="85">
        <f t="shared" si="20"/>
        <v>397.09999999999997</v>
      </c>
      <c r="AH186" s="85">
        <f t="shared" si="21"/>
        <v>398.5</v>
      </c>
      <c r="AI186" s="85">
        <f t="shared" si="22"/>
        <v>393.2</v>
      </c>
      <c r="AJ186" s="85">
        <f t="shared" si="23"/>
        <v>117.4</v>
      </c>
      <c r="AK186" s="85">
        <f t="shared" si="24"/>
        <v>126.5</v>
      </c>
      <c r="AL186" s="85">
        <f t="shared" si="25"/>
        <v>126.5</v>
      </c>
      <c r="AM186" s="86"/>
    </row>
    <row r="187" spans="1:39" x14ac:dyDescent="0.3">
      <c r="A187" s="87" t="s">
        <v>34</v>
      </c>
      <c r="B187" s="88">
        <v>2018</v>
      </c>
      <c r="C187" s="88" t="s">
        <v>35</v>
      </c>
      <c r="D187" s="88">
        <v>135.9</v>
      </c>
      <c r="E187" s="88">
        <v>143.5</v>
      </c>
      <c r="F187" s="88">
        <v>140.30000000000001</v>
      </c>
      <c r="G187" s="88">
        <v>140.9</v>
      </c>
      <c r="H187" s="88">
        <v>120.4</v>
      </c>
      <c r="I187" s="88">
        <v>142.9</v>
      </c>
      <c r="J187" s="88">
        <v>140.5</v>
      </c>
      <c r="K187" s="88">
        <v>125.8</v>
      </c>
      <c r="L187" s="88">
        <v>117.1</v>
      </c>
      <c r="M187" s="88">
        <v>137.30000000000001</v>
      </c>
      <c r="N187" s="88">
        <v>128.6</v>
      </c>
      <c r="O187" s="88">
        <v>149.6</v>
      </c>
      <c r="P187" s="88">
        <v>137.6</v>
      </c>
      <c r="Q187" s="88">
        <v>154.9</v>
      </c>
      <c r="R187" s="88">
        <v>143.80000000000001</v>
      </c>
      <c r="S187" s="88">
        <v>135.6</v>
      </c>
      <c r="T187" s="88">
        <v>142.6</v>
      </c>
      <c r="U187" s="88">
        <v>141.30000000000001</v>
      </c>
      <c r="V187" s="88">
        <v>136.69999999999999</v>
      </c>
      <c r="W187" s="88">
        <v>135.19999999999999</v>
      </c>
      <c r="X187" s="88">
        <v>133.80000000000001</v>
      </c>
      <c r="Y187" s="88">
        <v>120.2</v>
      </c>
      <c r="Z187" s="88">
        <v>129.9</v>
      </c>
      <c r="AA187" s="88">
        <v>139</v>
      </c>
      <c r="AB187" s="88">
        <v>127.7</v>
      </c>
      <c r="AC187" s="88">
        <v>129.6</v>
      </c>
      <c r="AD187" s="88">
        <v>136.4</v>
      </c>
      <c r="AE187" s="88">
        <f t="shared" si="18"/>
        <v>1760.3999999999996</v>
      </c>
      <c r="AF187" s="88">
        <f t="shared" si="19"/>
        <v>154.9</v>
      </c>
      <c r="AG187" s="88">
        <f t="shared" si="20"/>
        <v>422</v>
      </c>
      <c r="AH187" s="88">
        <f t="shared" si="21"/>
        <v>413.2</v>
      </c>
      <c r="AI187" s="88">
        <f t="shared" si="22"/>
        <v>400.5</v>
      </c>
      <c r="AJ187" s="88">
        <f t="shared" si="23"/>
        <v>120.2</v>
      </c>
      <c r="AK187" s="88">
        <f t="shared" si="24"/>
        <v>129.9</v>
      </c>
      <c r="AL187" s="88">
        <f t="shared" si="25"/>
        <v>129.6</v>
      </c>
      <c r="AM187" s="89"/>
    </row>
    <row r="188" spans="1:39" x14ac:dyDescent="0.3">
      <c r="A188" s="84" t="s">
        <v>30</v>
      </c>
      <c r="B188" s="85">
        <v>2018</v>
      </c>
      <c r="C188" s="85" t="s">
        <v>36</v>
      </c>
      <c r="D188" s="85">
        <v>136.80000000000001</v>
      </c>
      <c r="E188" s="85">
        <v>143.80000000000001</v>
      </c>
      <c r="F188" s="85">
        <v>140</v>
      </c>
      <c r="G188" s="85">
        <v>142</v>
      </c>
      <c r="H188" s="85">
        <v>123.2</v>
      </c>
      <c r="I188" s="85">
        <v>152.9</v>
      </c>
      <c r="J188" s="85">
        <v>138</v>
      </c>
      <c r="K188" s="85">
        <v>129.30000000000001</v>
      </c>
      <c r="L188" s="85">
        <v>117.1</v>
      </c>
      <c r="M188" s="85">
        <v>136.30000000000001</v>
      </c>
      <c r="N188" s="85">
        <v>131.19999999999999</v>
      </c>
      <c r="O188" s="85">
        <v>152.80000000000001</v>
      </c>
      <c r="P188" s="85">
        <v>138.6</v>
      </c>
      <c r="Q188" s="85">
        <v>155.1</v>
      </c>
      <c r="R188" s="85">
        <v>149.19999999999999</v>
      </c>
      <c r="S188" s="85">
        <v>143</v>
      </c>
      <c r="T188" s="85">
        <v>148.30000000000001</v>
      </c>
      <c r="U188" s="85" t="s">
        <v>32</v>
      </c>
      <c r="V188" s="85">
        <v>142.6</v>
      </c>
      <c r="W188" s="85">
        <v>139.9</v>
      </c>
      <c r="X188" s="85">
        <v>136.69999999999999</v>
      </c>
      <c r="Y188" s="85">
        <v>124.6</v>
      </c>
      <c r="Z188" s="85">
        <v>135.1</v>
      </c>
      <c r="AA188" s="85">
        <v>142.69999999999999</v>
      </c>
      <c r="AB188" s="85">
        <v>129.30000000000001</v>
      </c>
      <c r="AC188" s="85">
        <v>133.30000000000001</v>
      </c>
      <c r="AD188" s="85">
        <v>138.69999999999999</v>
      </c>
      <c r="AE188" s="85">
        <f t="shared" si="18"/>
        <v>1781.9999999999998</v>
      </c>
      <c r="AF188" s="85">
        <f t="shared" si="19"/>
        <v>155.1</v>
      </c>
      <c r="AG188" s="85">
        <f t="shared" si="20"/>
        <v>440.5</v>
      </c>
      <c r="AH188" s="85">
        <f t="shared" si="21"/>
        <v>282.5</v>
      </c>
      <c r="AI188" s="85">
        <f t="shared" si="22"/>
        <v>408.7</v>
      </c>
      <c r="AJ188" s="85">
        <f t="shared" si="23"/>
        <v>124.6</v>
      </c>
      <c r="AK188" s="85">
        <f t="shared" si="24"/>
        <v>135.1</v>
      </c>
      <c r="AL188" s="85">
        <f t="shared" si="25"/>
        <v>133.30000000000001</v>
      </c>
      <c r="AM188" s="86"/>
    </row>
    <row r="189" spans="1:39" x14ac:dyDescent="0.3">
      <c r="A189" s="87" t="s">
        <v>33</v>
      </c>
      <c r="B189" s="88">
        <v>2018</v>
      </c>
      <c r="C189" s="88" t="s">
        <v>36</v>
      </c>
      <c r="D189" s="88">
        <v>135</v>
      </c>
      <c r="E189" s="88">
        <v>143.1</v>
      </c>
      <c r="F189" s="88">
        <v>135.5</v>
      </c>
      <c r="G189" s="88">
        <v>139.9</v>
      </c>
      <c r="H189" s="88">
        <v>116.5</v>
      </c>
      <c r="I189" s="88">
        <v>138.5</v>
      </c>
      <c r="J189" s="88">
        <v>128</v>
      </c>
      <c r="K189" s="88">
        <v>115.5</v>
      </c>
      <c r="L189" s="88">
        <v>114.2</v>
      </c>
      <c r="M189" s="88">
        <v>140.69999999999999</v>
      </c>
      <c r="N189" s="88">
        <v>126.2</v>
      </c>
      <c r="O189" s="88">
        <v>147.6</v>
      </c>
      <c r="P189" s="88">
        <v>134.80000000000001</v>
      </c>
      <c r="Q189" s="88">
        <v>159.69999999999999</v>
      </c>
      <c r="R189" s="88">
        <v>136.69999999999999</v>
      </c>
      <c r="S189" s="88">
        <v>126.7</v>
      </c>
      <c r="T189" s="88">
        <v>135.19999999999999</v>
      </c>
      <c r="U189" s="88">
        <v>142</v>
      </c>
      <c r="V189" s="88">
        <v>126.4</v>
      </c>
      <c r="W189" s="88">
        <v>130.80000000000001</v>
      </c>
      <c r="X189" s="88">
        <v>130.5</v>
      </c>
      <c r="Y189" s="88">
        <v>117.8</v>
      </c>
      <c r="Z189" s="88">
        <v>126.8</v>
      </c>
      <c r="AA189" s="88">
        <v>137.80000000000001</v>
      </c>
      <c r="AB189" s="88">
        <v>126.7</v>
      </c>
      <c r="AC189" s="88">
        <v>127.1</v>
      </c>
      <c r="AD189" s="88">
        <v>134</v>
      </c>
      <c r="AE189" s="88">
        <f t="shared" si="18"/>
        <v>1715.5</v>
      </c>
      <c r="AF189" s="88">
        <f t="shared" si="19"/>
        <v>159.69999999999999</v>
      </c>
      <c r="AG189" s="88">
        <f t="shared" si="20"/>
        <v>398.59999999999997</v>
      </c>
      <c r="AH189" s="88">
        <f t="shared" si="21"/>
        <v>399.2</v>
      </c>
      <c r="AI189" s="88">
        <f t="shared" si="22"/>
        <v>395</v>
      </c>
      <c r="AJ189" s="88">
        <f t="shared" si="23"/>
        <v>117.8</v>
      </c>
      <c r="AK189" s="88">
        <f t="shared" si="24"/>
        <v>126.8</v>
      </c>
      <c r="AL189" s="88">
        <f t="shared" si="25"/>
        <v>127.1</v>
      </c>
      <c r="AM189" s="89"/>
    </row>
    <row r="190" spans="1:39" x14ac:dyDescent="0.3">
      <c r="A190" s="84" t="s">
        <v>34</v>
      </c>
      <c r="B190" s="85">
        <v>2018</v>
      </c>
      <c r="C190" s="85" t="s">
        <v>36</v>
      </c>
      <c r="D190" s="85">
        <v>136.19999999999999</v>
      </c>
      <c r="E190" s="85">
        <v>143.6</v>
      </c>
      <c r="F190" s="85">
        <v>138.30000000000001</v>
      </c>
      <c r="G190" s="85">
        <v>141.19999999999999</v>
      </c>
      <c r="H190" s="85">
        <v>120.7</v>
      </c>
      <c r="I190" s="85">
        <v>146.19999999999999</v>
      </c>
      <c r="J190" s="85">
        <v>134.6</v>
      </c>
      <c r="K190" s="85">
        <v>124.6</v>
      </c>
      <c r="L190" s="85">
        <v>116.1</v>
      </c>
      <c r="M190" s="85">
        <v>137.80000000000001</v>
      </c>
      <c r="N190" s="85">
        <v>129.1</v>
      </c>
      <c r="O190" s="85">
        <v>150.4</v>
      </c>
      <c r="P190" s="85">
        <v>137.19999999999999</v>
      </c>
      <c r="Q190" s="85">
        <v>156.30000000000001</v>
      </c>
      <c r="R190" s="85">
        <v>144.30000000000001</v>
      </c>
      <c r="S190" s="85">
        <v>136.19999999999999</v>
      </c>
      <c r="T190" s="85">
        <v>143.1</v>
      </c>
      <c r="U190" s="85">
        <v>142</v>
      </c>
      <c r="V190" s="85">
        <v>136.5</v>
      </c>
      <c r="W190" s="85">
        <v>135.6</v>
      </c>
      <c r="X190" s="85">
        <v>134.30000000000001</v>
      </c>
      <c r="Y190" s="85">
        <v>121</v>
      </c>
      <c r="Z190" s="85">
        <v>130.4</v>
      </c>
      <c r="AA190" s="85">
        <v>139.80000000000001</v>
      </c>
      <c r="AB190" s="85">
        <v>128.19999999999999</v>
      </c>
      <c r="AC190" s="85">
        <v>130.30000000000001</v>
      </c>
      <c r="AD190" s="85">
        <v>136.5</v>
      </c>
      <c r="AE190" s="85">
        <f t="shared" si="18"/>
        <v>1756</v>
      </c>
      <c r="AF190" s="85">
        <f t="shared" si="19"/>
        <v>156.30000000000001</v>
      </c>
      <c r="AG190" s="85">
        <f t="shared" si="20"/>
        <v>423.6</v>
      </c>
      <c r="AH190" s="85">
        <f t="shared" si="21"/>
        <v>414.1</v>
      </c>
      <c r="AI190" s="85">
        <f t="shared" si="22"/>
        <v>402.3</v>
      </c>
      <c r="AJ190" s="85">
        <f t="shared" si="23"/>
        <v>121</v>
      </c>
      <c r="AK190" s="85">
        <f t="shared" si="24"/>
        <v>130.4</v>
      </c>
      <c r="AL190" s="85">
        <f t="shared" si="25"/>
        <v>130.30000000000001</v>
      </c>
      <c r="AM190" s="86"/>
    </row>
    <row r="191" spans="1:39" x14ac:dyDescent="0.3">
      <c r="A191" s="87" t="s">
        <v>30</v>
      </c>
      <c r="B191" s="88">
        <v>2018</v>
      </c>
      <c r="C191" s="88" t="s">
        <v>37</v>
      </c>
      <c r="D191" s="88">
        <v>137.1</v>
      </c>
      <c r="E191" s="88">
        <v>144.5</v>
      </c>
      <c r="F191" s="88">
        <v>135.9</v>
      </c>
      <c r="G191" s="88">
        <v>142.4</v>
      </c>
      <c r="H191" s="88">
        <v>123.5</v>
      </c>
      <c r="I191" s="88">
        <v>156.4</v>
      </c>
      <c r="J191" s="88">
        <v>135.1</v>
      </c>
      <c r="K191" s="88">
        <v>128.4</v>
      </c>
      <c r="L191" s="88">
        <v>115.2</v>
      </c>
      <c r="M191" s="88">
        <v>137.19999999999999</v>
      </c>
      <c r="N191" s="88">
        <v>131.9</v>
      </c>
      <c r="O191" s="88">
        <v>153.80000000000001</v>
      </c>
      <c r="P191" s="88">
        <v>138.6</v>
      </c>
      <c r="Q191" s="88">
        <v>156.1</v>
      </c>
      <c r="R191" s="88">
        <v>150.1</v>
      </c>
      <c r="S191" s="88">
        <v>143.30000000000001</v>
      </c>
      <c r="T191" s="88">
        <v>149.1</v>
      </c>
      <c r="U191" s="88" t="s">
        <v>32</v>
      </c>
      <c r="V191" s="88">
        <v>143.80000000000001</v>
      </c>
      <c r="W191" s="88">
        <v>140.9</v>
      </c>
      <c r="X191" s="88">
        <v>137.6</v>
      </c>
      <c r="Y191" s="88">
        <v>125.3</v>
      </c>
      <c r="Z191" s="88">
        <v>136</v>
      </c>
      <c r="AA191" s="88">
        <v>143.69999999999999</v>
      </c>
      <c r="AB191" s="88">
        <v>130.4</v>
      </c>
      <c r="AC191" s="88">
        <v>134.19999999999999</v>
      </c>
      <c r="AD191" s="88">
        <v>139.1</v>
      </c>
      <c r="AE191" s="88">
        <f t="shared" si="18"/>
        <v>1780</v>
      </c>
      <c r="AF191" s="88">
        <f t="shared" si="19"/>
        <v>156.1</v>
      </c>
      <c r="AG191" s="88">
        <f t="shared" si="20"/>
        <v>442.5</v>
      </c>
      <c r="AH191" s="88">
        <f t="shared" si="21"/>
        <v>284.70000000000005</v>
      </c>
      <c r="AI191" s="88">
        <f t="shared" si="22"/>
        <v>411.69999999999993</v>
      </c>
      <c r="AJ191" s="88">
        <f t="shared" si="23"/>
        <v>125.3</v>
      </c>
      <c r="AK191" s="88">
        <f t="shared" si="24"/>
        <v>136</v>
      </c>
      <c r="AL191" s="88">
        <f t="shared" si="25"/>
        <v>134.19999999999999</v>
      </c>
      <c r="AM191" s="89"/>
    </row>
    <row r="192" spans="1:39" x14ac:dyDescent="0.3">
      <c r="A192" s="84" t="s">
        <v>33</v>
      </c>
      <c r="B192" s="85">
        <v>2018</v>
      </c>
      <c r="C192" s="85" t="s">
        <v>37</v>
      </c>
      <c r="D192" s="85">
        <v>135</v>
      </c>
      <c r="E192" s="85">
        <v>144.30000000000001</v>
      </c>
      <c r="F192" s="85">
        <v>130.80000000000001</v>
      </c>
      <c r="G192" s="85">
        <v>140.30000000000001</v>
      </c>
      <c r="H192" s="85">
        <v>116.6</v>
      </c>
      <c r="I192" s="85">
        <v>150.1</v>
      </c>
      <c r="J192" s="85">
        <v>127.6</v>
      </c>
      <c r="K192" s="85">
        <v>114</v>
      </c>
      <c r="L192" s="85">
        <v>110.6</v>
      </c>
      <c r="M192" s="85">
        <v>140.19999999999999</v>
      </c>
      <c r="N192" s="85">
        <v>126.5</v>
      </c>
      <c r="O192" s="85">
        <v>148.30000000000001</v>
      </c>
      <c r="P192" s="85">
        <v>135.69999999999999</v>
      </c>
      <c r="Q192" s="85">
        <v>159.19999999999999</v>
      </c>
      <c r="R192" s="85">
        <v>137.80000000000001</v>
      </c>
      <c r="S192" s="85">
        <v>127.4</v>
      </c>
      <c r="T192" s="85">
        <v>136.19999999999999</v>
      </c>
      <c r="U192" s="85">
        <v>142.9</v>
      </c>
      <c r="V192" s="85">
        <v>124.6</v>
      </c>
      <c r="W192" s="85">
        <v>131.80000000000001</v>
      </c>
      <c r="X192" s="85">
        <v>131.30000000000001</v>
      </c>
      <c r="Y192" s="85">
        <v>118.9</v>
      </c>
      <c r="Z192" s="85">
        <v>127.6</v>
      </c>
      <c r="AA192" s="85">
        <v>139.69999999999999</v>
      </c>
      <c r="AB192" s="85">
        <v>127.6</v>
      </c>
      <c r="AC192" s="85">
        <v>128.19999999999999</v>
      </c>
      <c r="AD192" s="85">
        <v>134.80000000000001</v>
      </c>
      <c r="AE192" s="85">
        <f t="shared" si="18"/>
        <v>1720.0000000000002</v>
      </c>
      <c r="AF192" s="85">
        <f t="shared" si="19"/>
        <v>159.19999999999999</v>
      </c>
      <c r="AG192" s="85">
        <f t="shared" si="20"/>
        <v>401.40000000000003</v>
      </c>
      <c r="AH192" s="85">
        <f t="shared" si="21"/>
        <v>399.3</v>
      </c>
      <c r="AI192" s="85">
        <f t="shared" si="22"/>
        <v>398.6</v>
      </c>
      <c r="AJ192" s="85">
        <f t="shared" si="23"/>
        <v>118.9</v>
      </c>
      <c r="AK192" s="85">
        <f t="shared" si="24"/>
        <v>127.6</v>
      </c>
      <c r="AL192" s="85">
        <f t="shared" si="25"/>
        <v>128.19999999999999</v>
      </c>
      <c r="AM192" s="86"/>
    </row>
    <row r="193" spans="1:39" x14ac:dyDescent="0.3">
      <c r="A193" s="87" t="s">
        <v>34</v>
      </c>
      <c r="B193" s="88">
        <v>2018</v>
      </c>
      <c r="C193" s="88" t="s">
        <v>37</v>
      </c>
      <c r="D193" s="88">
        <v>136.4</v>
      </c>
      <c r="E193" s="88">
        <v>144.4</v>
      </c>
      <c r="F193" s="88">
        <v>133.9</v>
      </c>
      <c r="G193" s="88">
        <v>141.6</v>
      </c>
      <c r="H193" s="88">
        <v>121</v>
      </c>
      <c r="I193" s="88">
        <v>153.5</v>
      </c>
      <c r="J193" s="88">
        <v>132.6</v>
      </c>
      <c r="K193" s="88">
        <v>123.5</v>
      </c>
      <c r="L193" s="88">
        <v>113.7</v>
      </c>
      <c r="M193" s="88">
        <v>138.19999999999999</v>
      </c>
      <c r="N193" s="88">
        <v>129.6</v>
      </c>
      <c r="O193" s="88">
        <v>151.19999999999999</v>
      </c>
      <c r="P193" s="88">
        <v>137.5</v>
      </c>
      <c r="Q193" s="88">
        <v>156.9</v>
      </c>
      <c r="R193" s="88">
        <v>145.30000000000001</v>
      </c>
      <c r="S193" s="88">
        <v>136.69999999999999</v>
      </c>
      <c r="T193" s="88">
        <v>144</v>
      </c>
      <c r="U193" s="88">
        <v>142.9</v>
      </c>
      <c r="V193" s="88">
        <v>136.5</v>
      </c>
      <c r="W193" s="88">
        <v>136.6</v>
      </c>
      <c r="X193" s="88">
        <v>135.19999999999999</v>
      </c>
      <c r="Y193" s="88">
        <v>121.9</v>
      </c>
      <c r="Z193" s="88">
        <v>131.30000000000001</v>
      </c>
      <c r="AA193" s="88">
        <v>141.4</v>
      </c>
      <c r="AB193" s="88">
        <v>129.19999999999999</v>
      </c>
      <c r="AC193" s="88">
        <v>131.30000000000001</v>
      </c>
      <c r="AD193" s="88">
        <v>137.1</v>
      </c>
      <c r="AE193" s="88">
        <f t="shared" si="18"/>
        <v>1757.1000000000001</v>
      </c>
      <c r="AF193" s="88">
        <f t="shared" si="19"/>
        <v>156.9</v>
      </c>
      <c r="AG193" s="88">
        <f t="shared" si="20"/>
        <v>426</v>
      </c>
      <c r="AH193" s="88">
        <f t="shared" si="21"/>
        <v>416</v>
      </c>
      <c r="AI193" s="88">
        <f t="shared" si="22"/>
        <v>405.8</v>
      </c>
      <c r="AJ193" s="88">
        <f t="shared" si="23"/>
        <v>121.9</v>
      </c>
      <c r="AK193" s="88">
        <f t="shared" si="24"/>
        <v>131.30000000000001</v>
      </c>
      <c r="AL193" s="88">
        <f t="shared" si="25"/>
        <v>131.30000000000001</v>
      </c>
      <c r="AM193" s="89"/>
    </row>
    <row r="194" spans="1:39" x14ac:dyDescent="0.3">
      <c r="A194" s="84" t="s">
        <v>30</v>
      </c>
      <c r="B194" s="85">
        <v>2018</v>
      </c>
      <c r="C194" s="85" t="s">
        <v>38</v>
      </c>
      <c r="D194" s="85">
        <v>137.4</v>
      </c>
      <c r="E194" s="85">
        <v>145.69999999999999</v>
      </c>
      <c r="F194" s="85">
        <v>135.5</v>
      </c>
      <c r="G194" s="85">
        <v>142.9</v>
      </c>
      <c r="H194" s="85">
        <v>123.6</v>
      </c>
      <c r="I194" s="85">
        <v>157.5</v>
      </c>
      <c r="J194" s="85">
        <v>137.80000000000001</v>
      </c>
      <c r="K194" s="85">
        <v>127.2</v>
      </c>
      <c r="L194" s="85">
        <v>111.8</v>
      </c>
      <c r="M194" s="85">
        <v>137.4</v>
      </c>
      <c r="N194" s="85">
        <v>132.19999999999999</v>
      </c>
      <c r="O194" s="85">
        <v>154.30000000000001</v>
      </c>
      <c r="P194" s="85">
        <v>139.1</v>
      </c>
      <c r="Q194" s="85">
        <v>157</v>
      </c>
      <c r="R194" s="85">
        <v>150.80000000000001</v>
      </c>
      <c r="S194" s="85">
        <v>144.1</v>
      </c>
      <c r="T194" s="85">
        <v>149.80000000000001</v>
      </c>
      <c r="U194" s="85" t="s">
        <v>32</v>
      </c>
      <c r="V194" s="85">
        <v>144.30000000000001</v>
      </c>
      <c r="W194" s="85">
        <v>141.80000000000001</v>
      </c>
      <c r="X194" s="85">
        <v>138.4</v>
      </c>
      <c r="Y194" s="85">
        <v>126.4</v>
      </c>
      <c r="Z194" s="85">
        <v>136.80000000000001</v>
      </c>
      <c r="AA194" s="85">
        <v>144.4</v>
      </c>
      <c r="AB194" s="85">
        <v>131.19999999999999</v>
      </c>
      <c r="AC194" s="85">
        <v>135.1</v>
      </c>
      <c r="AD194" s="85">
        <v>139.80000000000001</v>
      </c>
      <c r="AE194" s="85">
        <f t="shared" si="18"/>
        <v>1782.4</v>
      </c>
      <c r="AF194" s="85">
        <f t="shared" si="19"/>
        <v>157</v>
      </c>
      <c r="AG194" s="85">
        <f t="shared" si="20"/>
        <v>444.7</v>
      </c>
      <c r="AH194" s="85">
        <f t="shared" si="21"/>
        <v>286.10000000000002</v>
      </c>
      <c r="AI194" s="85">
        <f t="shared" si="22"/>
        <v>414</v>
      </c>
      <c r="AJ194" s="85">
        <f t="shared" si="23"/>
        <v>126.4</v>
      </c>
      <c r="AK194" s="85">
        <f t="shared" si="24"/>
        <v>136.80000000000001</v>
      </c>
      <c r="AL194" s="85">
        <f t="shared" si="25"/>
        <v>135.1</v>
      </c>
      <c r="AM194" s="86"/>
    </row>
    <row r="195" spans="1:39" x14ac:dyDescent="0.3">
      <c r="A195" s="87" t="s">
        <v>33</v>
      </c>
      <c r="B195" s="88">
        <v>2018</v>
      </c>
      <c r="C195" s="88" t="s">
        <v>38</v>
      </c>
      <c r="D195" s="88">
        <v>135</v>
      </c>
      <c r="E195" s="88">
        <v>148.19999999999999</v>
      </c>
      <c r="F195" s="88">
        <v>130.5</v>
      </c>
      <c r="G195" s="88">
        <v>140.69999999999999</v>
      </c>
      <c r="H195" s="88">
        <v>116.4</v>
      </c>
      <c r="I195" s="88">
        <v>151.30000000000001</v>
      </c>
      <c r="J195" s="88">
        <v>131.4</v>
      </c>
      <c r="K195" s="88">
        <v>112.8</v>
      </c>
      <c r="L195" s="88">
        <v>105.3</v>
      </c>
      <c r="M195" s="88">
        <v>139.6</v>
      </c>
      <c r="N195" s="88">
        <v>126.6</v>
      </c>
      <c r="O195" s="88">
        <v>148.69999999999999</v>
      </c>
      <c r="P195" s="88">
        <v>136.4</v>
      </c>
      <c r="Q195" s="88">
        <v>160.30000000000001</v>
      </c>
      <c r="R195" s="88">
        <v>138.6</v>
      </c>
      <c r="S195" s="88">
        <v>127.9</v>
      </c>
      <c r="T195" s="88">
        <v>137</v>
      </c>
      <c r="U195" s="88">
        <v>143.19999999999999</v>
      </c>
      <c r="V195" s="88">
        <v>124.7</v>
      </c>
      <c r="W195" s="88">
        <v>132.5</v>
      </c>
      <c r="X195" s="88">
        <v>132</v>
      </c>
      <c r="Y195" s="88">
        <v>119.8</v>
      </c>
      <c r="Z195" s="88">
        <v>128</v>
      </c>
      <c r="AA195" s="88">
        <v>140.4</v>
      </c>
      <c r="AB195" s="88">
        <v>128.1</v>
      </c>
      <c r="AC195" s="88">
        <v>128.9</v>
      </c>
      <c r="AD195" s="88">
        <v>135.4</v>
      </c>
      <c r="AE195" s="88">
        <f t="shared" ref="AE195:AE258" si="26">SUM(D195:P195)</f>
        <v>1722.8999999999999</v>
      </c>
      <c r="AF195" s="88">
        <f t="shared" ref="AF195:AF258" si="27">SUM(Q195)</f>
        <v>160.30000000000001</v>
      </c>
      <c r="AG195" s="88">
        <f t="shared" ref="AG195:AG258" si="28">SUM(R195:T195)</f>
        <v>403.5</v>
      </c>
      <c r="AH195" s="88">
        <f t="shared" ref="AH195:AH258" si="29">SUM(U195:W195)</f>
        <v>400.4</v>
      </c>
      <c r="AI195" s="88">
        <f t="shared" ref="AI195:AI258" si="30">SUM(X195,AA195,AB195)</f>
        <v>400.5</v>
      </c>
      <c r="AJ195" s="88">
        <f t="shared" ref="AJ195:AJ258" si="31">SUM(Y195)</f>
        <v>119.8</v>
      </c>
      <c r="AK195" s="88">
        <f t="shared" ref="AK195:AK258" si="32">SUM(Z195)</f>
        <v>128</v>
      </c>
      <c r="AL195" s="88">
        <f t="shared" ref="AL195:AL258" si="33">SUM(AC195)</f>
        <v>128.9</v>
      </c>
      <c r="AM195" s="89"/>
    </row>
    <row r="196" spans="1:39" x14ac:dyDescent="0.3">
      <c r="A196" s="84" t="s">
        <v>34</v>
      </c>
      <c r="B196" s="85">
        <v>2018</v>
      </c>
      <c r="C196" s="85" t="s">
        <v>38</v>
      </c>
      <c r="D196" s="85">
        <v>136.6</v>
      </c>
      <c r="E196" s="85">
        <v>146.6</v>
      </c>
      <c r="F196" s="85">
        <v>133.6</v>
      </c>
      <c r="G196" s="85">
        <v>142.1</v>
      </c>
      <c r="H196" s="85">
        <v>121</v>
      </c>
      <c r="I196" s="85">
        <v>154.6</v>
      </c>
      <c r="J196" s="85">
        <v>135.6</v>
      </c>
      <c r="K196" s="85">
        <v>122.3</v>
      </c>
      <c r="L196" s="85">
        <v>109.6</v>
      </c>
      <c r="M196" s="85">
        <v>138.1</v>
      </c>
      <c r="N196" s="85">
        <v>129.9</v>
      </c>
      <c r="O196" s="85">
        <v>151.69999999999999</v>
      </c>
      <c r="P196" s="85">
        <v>138.1</v>
      </c>
      <c r="Q196" s="85">
        <v>157.9</v>
      </c>
      <c r="R196" s="85">
        <v>146</v>
      </c>
      <c r="S196" s="85">
        <v>137.4</v>
      </c>
      <c r="T196" s="85">
        <v>144.69999999999999</v>
      </c>
      <c r="U196" s="85">
        <v>143.19999999999999</v>
      </c>
      <c r="V196" s="85">
        <v>136.9</v>
      </c>
      <c r="W196" s="85">
        <v>137.4</v>
      </c>
      <c r="X196" s="85">
        <v>136</v>
      </c>
      <c r="Y196" s="85">
        <v>122.9</v>
      </c>
      <c r="Z196" s="85">
        <v>131.80000000000001</v>
      </c>
      <c r="AA196" s="85">
        <v>142.1</v>
      </c>
      <c r="AB196" s="85">
        <v>129.9</v>
      </c>
      <c r="AC196" s="85">
        <v>132.1</v>
      </c>
      <c r="AD196" s="85">
        <v>137.80000000000001</v>
      </c>
      <c r="AE196" s="85">
        <f t="shared" si="26"/>
        <v>1759.8</v>
      </c>
      <c r="AF196" s="85">
        <f t="shared" si="27"/>
        <v>157.9</v>
      </c>
      <c r="AG196" s="85">
        <f t="shared" si="28"/>
        <v>428.09999999999997</v>
      </c>
      <c r="AH196" s="85">
        <f t="shared" si="29"/>
        <v>417.5</v>
      </c>
      <c r="AI196" s="85">
        <f t="shared" si="30"/>
        <v>408</v>
      </c>
      <c r="AJ196" s="85">
        <f t="shared" si="31"/>
        <v>122.9</v>
      </c>
      <c r="AK196" s="85">
        <f t="shared" si="32"/>
        <v>131.80000000000001</v>
      </c>
      <c r="AL196" s="85">
        <f t="shared" si="33"/>
        <v>132.1</v>
      </c>
      <c r="AM196" s="86"/>
    </row>
    <row r="197" spans="1:39" x14ac:dyDescent="0.3">
      <c r="A197" s="87" t="s">
        <v>30</v>
      </c>
      <c r="B197" s="88">
        <v>2018</v>
      </c>
      <c r="C197" s="88" t="s">
        <v>39</v>
      </c>
      <c r="D197" s="88">
        <v>137.6</v>
      </c>
      <c r="E197" s="88">
        <v>148.1</v>
      </c>
      <c r="F197" s="88">
        <v>136.69999999999999</v>
      </c>
      <c r="G197" s="88">
        <v>143.19999999999999</v>
      </c>
      <c r="H197" s="88">
        <v>124</v>
      </c>
      <c r="I197" s="88">
        <v>154.1</v>
      </c>
      <c r="J197" s="88">
        <v>143.5</v>
      </c>
      <c r="K197" s="88">
        <v>126</v>
      </c>
      <c r="L197" s="88">
        <v>112.4</v>
      </c>
      <c r="M197" s="88">
        <v>137.6</v>
      </c>
      <c r="N197" s="88">
        <v>132.80000000000001</v>
      </c>
      <c r="O197" s="88">
        <v>154.30000000000001</v>
      </c>
      <c r="P197" s="88">
        <v>140</v>
      </c>
      <c r="Q197" s="88">
        <v>157.30000000000001</v>
      </c>
      <c r="R197" s="88">
        <v>151.30000000000001</v>
      </c>
      <c r="S197" s="88">
        <v>144.69999999999999</v>
      </c>
      <c r="T197" s="88">
        <v>150.30000000000001</v>
      </c>
      <c r="U197" s="88" t="s">
        <v>32</v>
      </c>
      <c r="V197" s="88">
        <v>145.1</v>
      </c>
      <c r="W197" s="88">
        <v>142.19999999999999</v>
      </c>
      <c r="X197" s="88">
        <v>138.4</v>
      </c>
      <c r="Y197" s="88">
        <v>127.4</v>
      </c>
      <c r="Z197" s="88">
        <v>137.80000000000001</v>
      </c>
      <c r="AA197" s="88">
        <v>145.1</v>
      </c>
      <c r="AB197" s="88">
        <v>131.4</v>
      </c>
      <c r="AC197" s="88">
        <v>135.6</v>
      </c>
      <c r="AD197" s="88">
        <v>140.5</v>
      </c>
      <c r="AE197" s="88">
        <f t="shared" si="26"/>
        <v>1790.2999999999997</v>
      </c>
      <c r="AF197" s="88">
        <f t="shared" si="27"/>
        <v>157.30000000000001</v>
      </c>
      <c r="AG197" s="88">
        <f t="shared" si="28"/>
        <v>446.3</v>
      </c>
      <c r="AH197" s="88">
        <f t="shared" si="29"/>
        <v>287.29999999999995</v>
      </c>
      <c r="AI197" s="88">
        <f t="shared" si="30"/>
        <v>414.9</v>
      </c>
      <c r="AJ197" s="88">
        <f t="shared" si="31"/>
        <v>127.4</v>
      </c>
      <c r="AK197" s="88">
        <f t="shared" si="32"/>
        <v>137.80000000000001</v>
      </c>
      <c r="AL197" s="88">
        <f t="shared" si="33"/>
        <v>135.6</v>
      </c>
      <c r="AM197" s="89"/>
    </row>
    <row r="198" spans="1:39" x14ac:dyDescent="0.3">
      <c r="A198" s="84" t="s">
        <v>33</v>
      </c>
      <c r="B198" s="85">
        <v>2018</v>
      </c>
      <c r="C198" s="85" t="s">
        <v>39</v>
      </c>
      <c r="D198" s="85">
        <v>135.30000000000001</v>
      </c>
      <c r="E198" s="85">
        <v>149.69999999999999</v>
      </c>
      <c r="F198" s="85">
        <v>133.9</v>
      </c>
      <c r="G198" s="85">
        <v>140.80000000000001</v>
      </c>
      <c r="H198" s="85">
        <v>116.6</v>
      </c>
      <c r="I198" s="85">
        <v>152.19999999999999</v>
      </c>
      <c r="J198" s="85">
        <v>144</v>
      </c>
      <c r="K198" s="85">
        <v>112.3</v>
      </c>
      <c r="L198" s="85">
        <v>108.4</v>
      </c>
      <c r="M198" s="85">
        <v>140</v>
      </c>
      <c r="N198" s="85">
        <v>126.7</v>
      </c>
      <c r="O198" s="85">
        <v>149</v>
      </c>
      <c r="P198" s="85">
        <v>138.4</v>
      </c>
      <c r="Q198" s="85">
        <v>161</v>
      </c>
      <c r="R198" s="85">
        <v>138.9</v>
      </c>
      <c r="S198" s="85">
        <v>128.69999999999999</v>
      </c>
      <c r="T198" s="85">
        <v>137.4</v>
      </c>
      <c r="U198" s="85">
        <v>142.5</v>
      </c>
      <c r="V198" s="85">
        <v>126.5</v>
      </c>
      <c r="W198" s="85">
        <v>133.1</v>
      </c>
      <c r="X198" s="85">
        <v>132.6</v>
      </c>
      <c r="Y198" s="85">
        <v>120.4</v>
      </c>
      <c r="Z198" s="85">
        <v>128.5</v>
      </c>
      <c r="AA198" s="85">
        <v>141.19999999999999</v>
      </c>
      <c r="AB198" s="85">
        <v>128.19999999999999</v>
      </c>
      <c r="AC198" s="85">
        <v>129.5</v>
      </c>
      <c r="AD198" s="85">
        <v>136.19999999999999</v>
      </c>
      <c r="AE198" s="85">
        <f t="shared" si="26"/>
        <v>1747.3000000000002</v>
      </c>
      <c r="AF198" s="85">
        <f t="shared" si="27"/>
        <v>161</v>
      </c>
      <c r="AG198" s="85">
        <f t="shared" si="28"/>
        <v>405</v>
      </c>
      <c r="AH198" s="85">
        <f t="shared" si="29"/>
        <v>402.1</v>
      </c>
      <c r="AI198" s="85">
        <f t="shared" si="30"/>
        <v>401.99999999999994</v>
      </c>
      <c r="AJ198" s="85">
        <f t="shared" si="31"/>
        <v>120.4</v>
      </c>
      <c r="AK198" s="85">
        <f t="shared" si="32"/>
        <v>128.5</v>
      </c>
      <c r="AL198" s="85">
        <f t="shared" si="33"/>
        <v>129.5</v>
      </c>
      <c r="AM198" s="86"/>
    </row>
    <row r="199" spans="1:39" x14ac:dyDescent="0.3">
      <c r="A199" s="87" t="s">
        <v>34</v>
      </c>
      <c r="B199" s="88">
        <v>2018</v>
      </c>
      <c r="C199" s="88" t="s">
        <v>39</v>
      </c>
      <c r="D199" s="88">
        <v>136.9</v>
      </c>
      <c r="E199" s="88">
        <v>148.69999999999999</v>
      </c>
      <c r="F199" s="88">
        <v>135.6</v>
      </c>
      <c r="G199" s="88">
        <v>142.30000000000001</v>
      </c>
      <c r="H199" s="88">
        <v>121.3</v>
      </c>
      <c r="I199" s="88">
        <v>153.19999999999999</v>
      </c>
      <c r="J199" s="88">
        <v>143.69999999999999</v>
      </c>
      <c r="K199" s="88">
        <v>121.4</v>
      </c>
      <c r="L199" s="88">
        <v>111.1</v>
      </c>
      <c r="M199" s="88">
        <v>138.4</v>
      </c>
      <c r="N199" s="88">
        <v>130.30000000000001</v>
      </c>
      <c r="O199" s="88">
        <v>151.80000000000001</v>
      </c>
      <c r="P199" s="88">
        <v>139.4</v>
      </c>
      <c r="Q199" s="88">
        <v>158.30000000000001</v>
      </c>
      <c r="R199" s="88">
        <v>146.4</v>
      </c>
      <c r="S199" s="88">
        <v>138.1</v>
      </c>
      <c r="T199" s="88">
        <v>145.19999999999999</v>
      </c>
      <c r="U199" s="88">
        <v>142.5</v>
      </c>
      <c r="V199" s="88">
        <v>138.1</v>
      </c>
      <c r="W199" s="88">
        <v>137.9</v>
      </c>
      <c r="X199" s="88">
        <v>136.19999999999999</v>
      </c>
      <c r="Y199" s="88">
        <v>123.7</v>
      </c>
      <c r="Z199" s="88">
        <v>132.6</v>
      </c>
      <c r="AA199" s="88">
        <v>142.80000000000001</v>
      </c>
      <c r="AB199" s="88">
        <v>130.1</v>
      </c>
      <c r="AC199" s="88">
        <v>132.6</v>
      </c>
      <c r="AD199" s="88">
        <v>138.5</v>
      </c>
      <c r="AE199" s="88">
        <f t="shared" si="26"/>
        <v>1774.1000000000001</v>
      </c>
      <c r="AF199" s="88">
        <f t="shared" si="27"/>
        <v>158.30000000000001</v>
      </c>
      <c r="AG199" s="88">
        <f t="shared" si="28"/>
        <v>429.7</v>
      </c>
      <c r="AH199" s="88">
        <f t="shared" si="29"/>
        <v>418.5</v>
      </c>
      <c r="AI199" s="88">
        <f t="shared" si="30"/>
        <v>409.1</v>
      </c>
      <c r="AJ199" s="88">
        <f t="shared" si="31"/>
        <v>123.7</v>
      </c>
      <c r="AK199" s="88">
        <f t="shared" si="32"/>
        <v>132.6</v>
      </c>
      <c r="AL199" s="88">
        <f t="shared" si="33"/>
        <v>132.6</v>
      </c>
      <c r="AM199" s="89"/>
    </row>
    <row r="200" spans="1:39" x14ac:dyDescent="0.3">
      <c r="A200" s="84" t="s">
        <v>30</v>
      </c>
      <c r="B200" s="85">
        <v>2018</v>
      </c>
      <c r="C200" s="85" t="s">
        <v>40</v>
      </c>
      <c r="D200" s="85">
        <v>138.4</v>
      </c>
      <c r="E200" s="85">
        <v>149.30000000000001</v>
      </c>
      <c r="F200" s="85">
        <v>139.30000000000001</v>
      </c>
      <c r="G200" s="85">
        <v>143.4</v>
      </c>
      <c r="H200" s="85">
        <v>124.1</v>
      </c>
      <c r="I200" s="85">
        <v>153.30000000000001</v>
      </c>
      <c r="J200" s="85">
        <v>154.19999999999999</v>
      </c>
      <c r="K200" s="85">
        <v>126.4</v>
      </c>
      <c r="L200" s="85">
        <v>114.3</v>
      </c>
      <c r="M200" s="85">
        <v>138.19999999999999</v>
      </c>
      <c r="N200" s="85">
        <v>132.80000000000001</v>
      </c>
      <c r="O200" s="85">
        <v>154.80000000000001</v>
      </c>
      <c r="P200" s="85">
        <v>142</v>
      </c>
      <c r="Q200" s="85">
        <v>156.1</v>
      </c>
      <c r="R200" s="85">
        <v>151.5</v>
      </c>
      <c r="S200" s="85">
        <v>145.1</v>
      </c>
      <c r="T200" s="85">
        <v>150.6</v>
      </c>
      <c r="U200" s="85" t="s">
        <v>32</v>
      </c>
      <c r="V200" s="85">
        <v>146.80000000000001</v>
      </c>
      <c r="W200" s="85">
        <v>143.1</v>
      </c>
      <c r="X200" s="85">
        <v>139</v>
      </c>
      <c r="Y200" s="85">
        <v>127.5</v>
      </c>
      <c r="Z200" s="85">
        <v>138.4</v>
      </c>
      <c r="AA200" s="85">
        <v>145.80000000000001</v>
      </c>
      <c r="AB200" s="85">
        <v>131.4</v>
      </c>
      <c r="AC200" s="85">
        <v>136</v>
      </c>
      <c r="AD200" s="85">
        <v>141.80000000000001</v>
      </c>
      <c r="AE200" s="85">
        <f t="shared" si="26"/>
        <v>1810.5000000000002</v>
      </c>
      <c r="AF200" s="85">
        <f t="shared" si="27"/>
        <v>156.1</v>
      </c>
      <c r="AG200" s="85">
        <f t="shared" si="28"/>
        <v>447.20000000000005</v>
      </c>
      <c r="AH200" s="85">
        <f t="shared" si="29"/>
        <v>289.89999999999998</v>
      </c>
      <c r="AI200" s="85">
        <f t="shared" si="30"/>
        <v>416.20000000000005</v>
      </c>
      <c r="AJ200" s="85">
        <f t="shared" si="31"/>
        <v>127.5</v>
      </c>
      <c r="AK200" s="85">
        <f t="shared" si="32"/>
        <v>138.4</v>
      </c>
      <c r="AL200" s="85">
        <f t="shared" si="33"/>
        <v>136</v>
      </c>
      <c r="AM200" s="86"/>
    </row>
    <row r="201" spans="1:39" x14ac:dyDescent="0.3">
      <c r="A201" s="87" t="s">
        <v>33</v>
      </c>
      <c r="B201" s="88">
        <v>2018</v>
      </c>
      <c r="C201" s="88" t="s">
        <v>40</v>
      </c>
      <c r="D201" s="88">
        <v>135.6</v>
      </c>
      <c r="E201" s="88">
        <v>148.6</v>
      </c>
      <c r="F201" s="88">
        <v>139.1</v>
      </c>
      <c r="G201" s="88">
        <v>141</v>
      </c>
      <c r="H201" s="88">
        <v>116.7</v>
      </c>
      <c r="I201" s="88">
        <v>149.69999999999999</v>
      </c>
      <c r="J201" s="88">
        <v>159.19999999999999</v>
      </c>
      <c r="K201" s="88">
        <v>112.6</v>
      </c>
      <c r="L201" s="88">
        <v>111.8</v>
      </c>
      <c r="M201" s="88">
        <v>140.30000000000001</v>
      </c>
      <c r="N201" s="88">
        <v>126.8</v>
      </c>
      <c r="O201" s="88">
        <v>149.4</v>
      </c>
      <c r="P201" s="88">
        <v>140.30000000000001</v>
      </c>
      <c r="Q201" s="88">
        <v>161.4</v>
      </c>
      <c r="R201" s="88">
        <v>139.6</v>
      </c>
      <c r="S201" s="88">
        <v>128.9</v>
      </c>
      <c r="T201" s="88">
        <v>137.9</v>
      </c>
      <c r="U201" s="88">
        <v>143.6</v>
      </c>
      <c r="V201" s="88">
        <v>128.1</v>
      </c>
      <c r="W201" s="88">
        <v>133.6</v>
      </c>
      <c r="X201" s="88">
        <v>133.6</v>
      </c>
      <c r="Y201" s="88">
        <v>120.1</v>
      </c>
      <c r="Z201" s="88">
        <v>129</v>
      </c>
      <c r="AA201" s="88">
        <v>144</v>
      </c>
      <c r="AB201" s="88">
        <v>128.19999999999999</v>
      </c>
      <c r="AC201" s="88">
        <v>130.19999999999999</v>
      </c>
      <c r="AD201" s="88">
        <v>137.5</v>
      </c>
      <c r="AE201" s="88">
        <f t="shared" si="26"/>
        <v>1771.1</v>
      </c>
      <c r="AF201" s="88">
        <f t="shared" si="27"/>
        <v>161.4</v>
      </c>
      <c r="AG201" s="88">
        <f t="shared" si="28"/>
        <v>406.4</v>
      </c>
      <c r="AH201" s="88">
        <f t="shared" si="29"/>
        <v>405.29999999999995</v>
      </c>
      <c r="AI201" s="88">
        <f t="shared" si="30"/>
        <v>405.8</v>
      </c>
      <c r="AJ201" s="88">
        <f t="shared" si="31"/>
        <v>120.1</v>
      </c>
      <c r="AK201" s="88">
        <f t="shared" si="32"/>
        <v>129</v>
      </c>
      <c r="AL201" s="88">
        <f t="shared" si="33"/>
        <v>130.19999999999999</v>
      </c>
      <c r="AM201" s="89"/>
    </row>
    <row r="202" spans="1:39" x14ac:dyDescent="0.3">
      <c r="A202" s="84" t="s">
        <v>34</v>
      </c>
      <c r="B202" s="85">
        <v>2018</v>
      </c>
      <c r="C202" s="85" t="s">
        <v>40</v>
      </c>
      <c r="D202" s="85">
        <v>137.5</v>
      </c>
      <c r="E202" s="85">
        <v>149.1</v>
      </c>
      <c r="F202" s="85">
        <v>139.19999999999999</v>
      </c>
      <c r="G202" s="85">
        <v>142.5</v>
      </c>
      <c r="H202" s="85">
        <v>121.4</v>
      </c>
      <c r="I202" s="85">
        <v>151.6</v>
      </c>
      <c r="J202" s="85">
        <v>155.9</v>
      </c>
      <c r="K202" s="85">
        <v>121.7</v>
      </c>
      <c r="L202" s="85">
        <v>113.5</v>
      </c>
      <c r="M202" s="85">
        <v>138.9</v>
      </c>
      <c r="N202" s="85">
        <v>130.30000000000001</v>
      </c>
      <c r="O202" s="85">
        <v>152.30000000000001</v>
      </c>
      <c r="P202" s="85">
        <v>141.4</v>
      </c>
      <c r="Q202" s="85">
        <v>157.5</v>
      </c>
      <c r="R202" s="85">
        <v>146.80000000000001</v>
      </c>
      <c r="S202" s="85">
        <v>138.4</v>
      </c>
      <c r="T202" s="85">
        <v>145.6</v>
      </c>
      <c r="U202" s="85">
        <v>143.6</v>
      </c>
      <c r="V202" s="85">
        <v>139.69999999999999</v>
      </c>
      <c r="W202" s="85">
        <v>138.6</v>
      </c>
      <c r="X202" s="85">
        <v>137</v>
      </c>
      <c r="Y202" s="85">
        <v>123.6</v>
      </c>
      <c r="Z202" s="85">
        <v>133.1</v>
      </c>
      <c r="AA202" s="85">
        <v>144.69999999999999</v>
      </c>
      <c r="AB202" s="85">
        <v>130.1</v>
      </c>
      <c r="AC202" s="85">
        <v>133.19999999999999</v>
      </c>
      <c r="AD202" s="85">
        <v>139.80000000000001</v>
      </c>
      <c r="AE202" s="85">
        <f t="shared" si="26"/>
        <v>1795.3</v>
      </c>
      <c r="AF202" s="85">
        <f t="shared" si="27"/>
        <v>157.5</v>
      </c>
      <c r="AG202" s="85">
        <f t="shared" si="28"/>
        <v>430.80000000000007</v>
      </c>
      <c r="AH202" s="85">
        <f t="shared" si="29"/>
        <v>421.9</v>
      </c>
      <c r="AI202" s="85">
        <f t="shared" si="30"/>
        <v>411.79999999999995</v>
      </c>
      <c r="AJ202" s="85">
        <f t="shared" si="31"/>
        <v>123.6</v>
      </c>
      <c r="AK202" s="85">
        <f t="shared" si="32"/>
        <v>133.1</v>
      </c>
      <c r="AL202" s="85">
        <f t="shared" si="33"/>
        <v>133.19999999999999</v>
      </c>
      <c r="AM202" s="86"/>
    </row>
    <row r="203" spans="1:39" x14ac:dyDescent="0.3">
      <c r="A203" s="87" t="s">
        <v>30</v>
      </c>
      <c r="B203" s="88">
        <v>2018</v>
      </c>
      <c r="C203" s="88" t="s">
        <v>41</v>
      </c>
      <c r="D203" s="88">
        <v>139.19999999999999</v>
      </c>
      <c r="E203" s="88">
        <v>148.80000000000001</v>
      </c>
      <c r="F203" s="88">
        <v>139.1</v>
      </c>
      <c r="G203" s="88">
        <v>143.5</v>
      </c>
      <c r="H203" s="88">
        <v>125</v>
      </c>
      <c r="I203" s="88">
        <v>154.4</v>
      </c>
      <c r="J203" s="88">
        <v>156.30000000000001</v>
      </c>
      <c r="K203" s="88">
        <v>126.8</v>
      </c>
      <c r="L203" s="88">
        <v>115.4</v>
      </c>
      <c r="M203" s="88">
        <v>138.6</v>
      </c>
      <c r="N203" s="88">
        <v>133.80000000000001</v>
      </c>
      <c r="O203" s="88">
        <v>155.19999999999999</v>
      </c>
      <c r="P203" s="88">
        <v>142.69999999999999</v>
      </c>
      <c r="Q203" s="88">
        <v>156.4</v>
      </c>
      <c r="R203" s="88">
        <v>152.1</v>
      </c>
      <c r="S203" s="88">
        <v>145.80000000000001</v>
      </c>
      <c r="T203" s="88">
        <v>151.30000000000001</v>
      </c>
      <c r="U203" s="88" t="s">
        <v>32</v>
      </c>
      <c r="V203" s="88">
        <v>147.69999999999999</v>
      </c>
      <c r="W203" s="88">
        <v>143.80000000000001</v>
      </c>
      <c r="X203" s="88">
        <v>139.4</v>
      </c>
      <c r="Y203" s="88">
        <v>128.30000000000001</v>
      </c>
      <c r="Z203" s="88">
        <v>138.6</v>
      </c>
      <c r="AA203" s="88">
        <v>146.9</v>
      </c>
      <c r="AB203" s="88">
        <v>131.30000000000001</v>
      </c>
      <c r="AC203" s="88">
        <v>136.6</v>
      </c>
      <c r="AD203" s="88">
        <v>142.5</v>
      </c>
      <c r="AE203" s="88">
        <f t="shared" si="26"/>
        <v>1818.8</v>
      </c>
      <c r="AF203" s="88">
        <f t="shared" si="27"/>
        <v>156.4</v>
      </c>
      <c r="AG203" s="88">
        <f t="shared" si="28"/>
        <v>449.2</v>
      </c>
      <c r="AH203" s="88">
        <f t="shared" si="29"/>
        <v>291.5</v>
      </c>
      <c r="AI203" s="88">
        <f t="shared" si="30"/>
        <v>417.6</v>
      </c>
      <c r="AJ203" s="88">
        <f t="shared" si="31"/>
        <v>128.30000000000001</v>
      </c>
      <c r="AK203" s="88">
        <f t="shared" si="32"/>
        <v>138.6</v>
      </c>
      <c r="AL203" s="88">
        <f t="shared" si="33"/>
        <v>136.6</v>
      </c>
      <c r="AM203" s="89"/>
    </row>
    <row r="204" spans="1:39" x14ac:dyDescent="0.3">
      <c r="A204" s="84" t="s">
        <v>33</v>
      </c>
      <c r="B204" s="85">
        <v>2018</v>
      </c>
      <c r="C204" s="85" t="s">
        <v>41</v>
      </c>
      <c r="D204" s="85">
        <v>136.5</v>
      </c>
      <c r="E204" s="85">
        <v>146.4</v>
      </c>
      <c r="F204" s="85">
        <v>136.6</v>
      </c>
      <c r="G204" s="85">
        <v>141.19999999999999</v>
      </c>
      <c r="H204" s="85">
        <v>117.4</v>
      </c>
      <c r="I204" s="85">
        <v>146.30000000000001</v>
      </c>
      <c r="J204" s="85">
        <v>157.30000000000001</v>
      </c>
      <c r="K204" s="85">
        <v>113.6</v>
      </c>
      <c r="L204" s="85">
        <v>113.3</v>
      </c>
      <c r="M204" s="85">
        <v>141.1</v>
      </c>
      <c r="N204" s="85">
        <v>127.4</v>
      </c>
      <c r="O204" s="85">
        <v>150.4</v>
      </c>
      <c r="P204" s="85">
        <v>140.1</v>
      </c>
      <c r="Q204" s="85">
        <v>162.1</v>
      </c>
      <c r="R204" s="85">
        <v>140</v>
      </c>
      <c r="S204" s="85">
        <v>129</v>
      </c>
      <c r="T204" s="85">
        <v>138.30000000000001</v>
      </c>
      <c r="U204" s="85">
        <v>144.6</v>
      </c>
      <c r="V204" s="85">
        <v>129.80000000000001</v>
      </c>
      <c r="W204" s="85">
        <v>134.4</v>
      </c>
      <c r="X204" s="85">
        <v>134.9</v>
      </c>
      <c r="Y204" s="85">
        <v>120.7</v>
      </c>
      <c r="Z204" s="85">
        <v>129.80000000000001</v>
      </c>
      <c r="AA204" s="85">
        <v>145.30000000000001</v>
      </c>
      <c r="AB204" s="85">
        <v>128.30000000000001</v>
      </c>
      <c r="AC204" s="85">
        <v>131</v>
      </c>
      <c r="AD204" s="85">
        <v>138</v>
      </c>
      <c r="AE204" s="85">
        <f t="shared" si="26"/>
        <v>1767.6</v>
      </c>
      <c r="AF204" s="85">
        <f t="shared" si="27"/>
        <v>162.1</v>
      </c>
      <c r="AG204" s="85">
        <f t="shared" si="28"/>
        <v>407.3</v>
      </c>
      <c r="AH204" s="85">
        <f t="shared" si="29"/>
        <v>408.79999999999995</v>
      </c>
      <c r="AI204" s="85">
        <f t="shared" si="30"/>
        <v>408.50000000000006</v>
      </c>
      <c r="AJ204" s="85">
        <f t="shared" si="31"/>
        <v>120.7</v>
      </c>
      <c r="AK204" s="85">
        <f t="shared" si="32"/>
        <v>129.80000000000001</v>
      </c>
      <c r="AL204" s="85">
        <f t="shared" si="33"/>
        <v>131</v>
      </c>
      <c r="AM204" s="86"/>
    </row>
    <row r="205" spans="1:39" x14ac:dyDescent="0.3">
      <c r="A205" s="87" t="s">
        <v>34</v>
      </c>
      <c r="B205" s="88">
        <v>2018</v>
      </c>
      <c r="C205" s="88" t="s">
        <v>41</v>
      </c>
      <c r="D205" s="88">
        <v>138.30000000000001</v>
      </c>
      <c r="E205" s="88">
        <v>148</v>
      </c>
      <c r="F205" s="88">
        <v>138.1</v>
      </c>
      <c r="G205" s="88">
        <v>142.6</v>
      </c>
      <c r="H205" s="88">
        <v>122.2</v>
      </c>
      <c r="I205" s="88">
        <v>150.6</v>
      </c>
      <c r="J205" s="88">
        <v>156.6</v>
      </c>
      <c r="K205" s="88">
        <v>122.4</v>
      </c>
      <c r="L205" s="88">
        <v>114.7</v>
      </c>
      <c r="M205" s="88">
        <v>139.4</v>
      </c>
      <c r="N205" s="88">
        <v>131.1</v>
      </c>
      <c r="O205" s="88">
        <v>153</v>
      </c>
      <c r="P205" s="88">
        <v>141.69999999999999</v>
      </c>
      <c r="Q205" s="88">
        <v>157.9</v>
      </c>
      <c r="R205" s="88">
        <v>147.30000000000001</v>
      </c>
      <c r="S205" s="88">
        <v>138.80000000000001</v>
      </c>
      <c r="T205" s="88">
        <v>146.1</v>
      </c>
      <c r="U205" s="88">
        <v>144.6</v>
      </c>
      <c r="V205" s="88">
        <v>140.9</v>
      </c>
      <c r="W205" s="88">
        <v>139.4</v>
      </c>
      <c r="X205" s="88">
        <v>137.69999999999999</v>
      </c>
      <c r="Y205" s="88">
        <v>124.3</v>
      </c>
      <c r="Z205" s="88">
        <v>133.6</v>
      </c>
      <c r="AA205" s="88">
        <v>146</v>
      </c>
      <c r="AB205" s="88">
        <v>130.1</v>
      </c>
      <c r="AC205" s="88">
        <v>133.9</v>
      </c>
      <c r="AD205" s="88">
        <v>140.4</v>
      </c>
      <c r="AE205" s="88">
        <f t="shared" si="26"/>
        <v>1798.7000000000003</v>
      </c>
      <c r="AF205" s="88">
        <f t="shared" si="27"/>
        <v>157.9</v>
      </c>
      <c r="AG205" s="88">
        <f t="shared" si="28"/>
        <v>432.20000000000005</v>
      </c>
      <c r="AH205" s="88">
        <f t="shared" si="29"/>
        <v>424.9</v>
      </c>
      <c r="AI205" s="88">
        <f t="shared" si="30"/>
        <v>413.79999999999995</v>
      </c>
      <c r="AJ205" s="88">
        <f t="shared" si="31"/>
        <v>124.3</v>
      </c>
      <c r="AK205" s="88">
        <f t="shared" si="32"/>
        <v>133.6</v>
      </c>
      <c r="AL205" s="88">
        <f t="shared" si="33"/>
        <v>133.9</v>
      </c>
      <c r="AM205" s="89"/>
    </row>
    <row r="206" spans="1:39" x14ac:dyDescent="0.3">
      <c r="A206" s="84" t="s">
        <v>30</v>
      </c>
      <c r="B206" s="85">
        <v>2018</v>
      </c>
      <c r="C206" s="85" t="s">
        <v>42</v>
      </c>
      <c r="D206" s="85">
        <v>139.4</v>
      </c>
      <c r="E206" s="85">
        <v>147.19999999999999</v>
      </c>
      <c r="F206" s="85">
        <v>136.6</v>
      </c>
      <c r="G206" s="85">
        <v>143.69999999999999</v>
      </c>
      <c r="H206" s="85">
        <v>124.6</v>
      </c>
      <c r="I206" s="85">
        <v>150.1</v>
      </c>
      <c r="J206" s="85">
        <v>149.4</v>
      </c>
      <c r="K206" s="85">
        <v>125.4</v>
      </c>
      <c r="L206" s="85">
        <v>114.4</v>
      </c>
      <c r="M206" s="85">
        <v>138.69999999999999</v>
      </c>
      <c r="N206" s="85">
        <v>133.1</v>
      </c>
      <c r="O206" s="85">
        <v>155.9</v>
      </c>
      <c r="P206" s="85">
        <v>141.30000000000001</v>
      </c>
      <c r="Q206" s="85">
        <v>157.69999999999999</v>
      </c>
      <c r="R206" s="85">
        <v>152.1</v>
      </c>
      <c r="S206" s="85">
        <v>146.1</v>
      </c>
      <c r="T206" s="85">
        <v>151.30000000000001</v>
      </c>
      <c r="U206" s="85" t="s">
        <v>32</v>
      </c>
      <c r="V206" s="85">
        <v>149</v>
      </c>
      <c r="W206" s="85">
        <v>144</v>
      </c>
      <c r="X206" s="85">
        <v>140</v>
      </c>
      <c r="Y206" s="85">
        <v>129.9</v>
      </c>
      <c r="Z206" s="85">
        <v>140</v>
      </c>
      <c r="AA206" s="85">
        <v>147.6</v>
      </c>
      <c r="AB206" s="85">
        <v>132</v>
      </c>
      <c r="AC206" s="85">
        <v>137.4</v>
      </c>
      <c r="AD206" s="85">
        <v>142.1</v>
      </c>
      <c r="AE206" s="85">
        <f t="shared" si="26"/>
        <v>1799.8000000000002</v>
      </c>
      <c r="AF206" s="85">
        <f t="shared" si="27"/>
        <v>157.69999999999999</v>
      </c>
      <c r="AG206" s="85">
        <f t="shared" si="28"/>
        <v>449.5</v>
      </c>
      <c r="AH206" s="85">
        <f t="shared" si="29"/>
        <v>293</v>
      </c>
      <c r="AI206" s="85">
        <f t="shared" si="30"/>
        <v>419.6</v>
      </c>
      <c r="AJ206" s="85">
        <f t="shared" si="31"/>
        <v>129.9</v>
      </c>
      <c r="AK206" s="85">
        <f t="shared" si="32"/>
        <v>140</v>
      </c>
      <c r="AL206" s="85">
        <f t="shared" si="33"/>
        <v>137.4</v>
      </c>
      <c r="AM206" s="86"/>
    </row>
    <row r="207" spans="1:39" x14ac:dyDescent="0.3">
      <c r="A207" s="87" t="s">
        <v>33</v>
      </c>
      <c r="B207" s="88">
        <v>2018</v>
      </c>
      <c r="C207" s="88" t="s">
        <v>42</v>
      </c>
      <c r="D207" s="88">
        <v>137</v>
      </c>
      <c r="E207" s="88">
        <v>143.1</v>
      </c>
      <c r="F207" s="88">
        <v>132.80000000000001</v>
      </c>
      <c r="G207" s="88">
        <v>141.5</v>
      </c>
      <c r="H207" s="88">
        <v>117.8</v>
      </c>
      <c r="I207" s="88">
        <v>140</v>
      </c>
      <c r="J207" s="88">
        <v>151.30000000000001</v>
      </c>
      <c r="K207" s="88">
        <v>113.5</v>
      </c>
      <c r="L207" s="88">
        <v>112.3</v>
      </c>
      <c r="M207" s="88">
        <v>141.19999999999999</v>
      </c>
      <c r="N207" s="88">
        <v>127.7</v>
      </c>
      <c r="O207" s="88">
        <v>151.30000000000001</v>
      </c>
      <c r="P207" s="88">
        <v>138.9</v>
      </c>
      <c r="Q207" s="88">
        <v>163.30000000000001</v>
      </c>
      <c r="R207" s="88">
        <v>140.80000000000001</v>
      </c>
      <c r="S207" s="88">
        <v>129.30000000000001</v>
      </c>
      <c r="T207" s="88">
        <v>139.1</v>
      </c>
      <c r="U207" s="88">
        <v>145.30000000000001</v>
      </c>
      <c r="V207" s="88">
        <v>131.19999999999999</v>
      </c>
      <c r="W207" s="88">
        <v>134.9</v>
      </c>
      <c r="X207" s="88">
        <v>135.69999999999999</v>
      </c>
      <c r="Y207" s="88">
        <v>122.5</v>
      </c>
      <c r="Z207" s="88">
        <v>130.19999999999999</v>
      </c>
      <c r="AA207" s="88">
        <v>145.19999999999999</v>
      </c>
      <c r="AB207" s="88">
        <v>129.30000000000001</v>
      </c>
      <c r="AC207" s="88">
        <v>131.9</v>
      </c>
      <c r="AD207" s="88">
        <v>138.1</v>
      </c>
      <c r="AE207" s="88">
        <f t="shared" si="26"/>
        <v>1748.4</v>
      </c>
      <c r="AF207" s="88">
        <f t="shared" si="27"/>
        <v>163.30000000000001</v>
      </c>
      <c r="AG207" s="88">
        <f t="shared" si="28"/>
        <v>409.20000000000005</v>
      </c>
      <c r="AH207" s="88">
        <f t="shared" si="29"/>
        <v>411.4</v>
      </c>
      <c r="AI207" s="88">
        <f t="shared" si="30"/>
        <v>410.2</v>
      </c>
      <c r="AJ207" s="88">
        <f t="shared" si="31"/>
        <v>122.5</v>
      </c>
      <c r="AK207" s="88">
        <f t="shared" si="32"/>
        <v>130.19999999999999</v>
      </c>
      <c r="AL207" s="88">
        <f t="shared" si="33"/>
        <v>131.9</v>
      </c>
      <c r="AM207" s="89"/>
    </row>
    <row r="208" spans="1:39" x14ac:dyDescent="0.3">
      <c r="A208" s="84" t="s">
        <v>34</v>
      </c>
      <c r="B208" s="85">
        <v>2018</v>
      </c>
      <c r="C208" s="85" t="s">
        <v>42</v>
      </c>
      <c r="D208" s="85">
        <v>138.6</v>
      </c>
      <c r="E208" s="85">
        <v>145.80000000000001</v>
      </c>
      <c r="F208" s="85">
        <v>135.1</v>
      </c>
      <c r="G208" s="85">
        <v>142.9</v>
      </c>
      <c r="H208" s="85">
        <v>122.1</v>
      </c>
      <c r="I208" s="85">
        <v>145.4</v>
      </c>
      <c r="J208" s="85">
        <v>150</v>
      </c>
      <c r="K208" s="85">
        <v>121.4</v>
      </c>
      <c r="L208" s="85">
        <v>113.7</v>
      </c>
      <c r="M208" s="85">
        <v>139.5</v>
      </c>
      <c r="N208" s="85">
        <v>130.80000000000001</v>
      </c>
      <c r="O208" s="85">
        <v>153.80000000000001</v>
      </c>
      <c r="P208" s="85">
        <v>140.4</v>
      </c>
      <c r="Q208" s="85">
        <v>159.19999999999999</v>
      </c>
      <c r="R208" s="85">
        <v>147.69999999999999</v>
      </c>
      <c r="S208" s="85">
        <v>139.1</v>
      </c>
      <c r="T208" s="85">
        <v>146.5</v>
      </c>
      <c r="U208" s="85">
        <v>145.30000000000001</v>
      </c>
      <c r="V208" s="85">
        <v>142.30000000000001</v>
      </c>
      <c r="W208" s="85">
        <v>139.69999999999999</v>
      </c>
      <c r="X208" s="85">
        <v>138.4</v>
      </c>
      <c r="Y208" s="85">
        <v>126</v>
      </c>
      <c r="Z208" s="85">
        <v>134.5</v>
      </c>
      <c r="AA208" s="85">
        <v>146.19999999999999</v>
      </c>
      <c r="AB208" s="85">
        <v>130.9</v>
      </c>
      <c r="AC208" s="85">
        <v>134.69999999999999</v>
      </c>
      <c r="AD208" s="85">
        <v>140.19999999999999</v>
      </c>
      <c r="AE208" s="85">
        <f t="shared" si="26"/>
        <v>1779.5</v>
      </c>
      <c r="AF208" s="85">
        <f t="shared" si="27"/>
        <v>159.19999999999999</v>
      </c>
      <c r="AG208" s="85">
        <f t="shared" si="28"/>
        <v>433.29999999999995</v>
      </c>
      <c r="AH208" s="85">
        <f t="shared" si="29"/>
        <v>427.3</v>
      </c>
      <c r="AI208" s="85">
        <f t="shared" si="30"/>
        <v>415.5</v>
      </c>
      <c r="AJ208" s="85">
        <f t="shared" si="31"/>
        <v>126</v>
      </c>
      <c r="AK208" s="85">
        <f t="shared" si="32"/>
        <v>134.5</v>
      </c>
      <c r="AL208" s="85">
        <f t="shared" si="33"/>
        <v>134.69999999999999</v>
      </c>
      <c r="AM208" s="86"/>
    </row>
    <row r="209" spans="1:39" x14ac:dyDescent="0.3">
      <c r="A209" s="87" t="s">
        <v>30</v>
      </c>
      <c r="B209" s="88">
        <v>2018</v>
      </c>
      <c r="C209" s="88" t="s">
        <v>43</v>
      </c>
      <c r="D209" s="88">
        <v>139.30000000000001</v>
      </c>
      <c r="E209" s="88">
        <v>147.6</v>
      </c>
      <c r="F209" s="88">
        <v>134.6</v>
      </c>
      <c r="G209" s="88">
        <v>141.9</v>
      </c>
      <c r="H209" s="88">
        <v>123.5</v>
      </c>
      <c r="I209" s="88">
        <v>144.5</v>
      </c>
      <c r="J209" s="88">
        <v>147.6</v>
      </c>
      <c r="K209" s="88">
        <v>121.4</v>
      </c>
      <c r="L209" s="88">
        <v>112.3</v>
      </c>
      <c r="M209" s="88">
        <v>139.5</v>
      </c>
      <c r="N209" s="88">
        <v>134.6</v>
      </c>
      <c r="O209" s="88">
        <v>155.19999999999999</v>
      </c>
      <c r="P209" s="88">
        <v>140.19999999999999</v>
      </c>
      <c r="Q209" s="88">
        <v>159.6</v>
      </c>
      <c r="R209" s="88">
        <v>150.69999999999999</v>
      </c>
      <c r="S209" s="88">
        <v>144.5</v>
      </c>
      <c r="T209" s="88">
        <v>149.80000000000001</v>
      </c>
      <c r="U209" s="88" t="s">
        <v>32</v>
      </c>
      <c r="V209" s="88">
        <v>149.69999999999999</v>
      </c>
      <c r="W209" s="88">
        <v>147.5</v>
      </c>
      <c r="X209" s="88">
        <v>144.80000000000001</v>
      </c>
      <c r="Y209" s="88">
        <v>130.80000000000001</v>
      </c>
      <c r="Z209" s="88">
        <v>140.1</v>
      </c>
      <c r="AA209" s="88">
        <v>148</v>
      </c>
      <c r="AB209" s="88">
        <v>134.4</v>
      </c>
      <c r="AC209" s="88">
        <v>139.80000000000001</v>
      </c>
      <c r="AD209" s="88">
        <v>142.19999999999999</v>
      </c>
      <c r="AE209" s="88">
        <f t="shared" si="26"/>
        <v>1782.2</v>
      </c>
      <c r="AF209" s="88">
        <f t="shared" si="27"/>
        <v>159.6</v>
      </c>
      <c r="AG209" s="88">
        <f t="shared" si="28"/>
        <v>445</v>
      </c>
      <c r="AH209" s="88">
        <f t="shared" si="29"/>
        <v>297.2</v>
      </c>
      <c r="AI209" s="88">
        <f t="shared" si="30"/>
        <v>427.20000000000005</v>
      </c>
      <c r="AJ209" s="88">
        <f t="shared" si="31"/>
        <v>130.80000000000001</v>
      </c>
      <c r="AK209" s="88">
        <f t="shared" si="32"/>
        <v>140.1</v>
      </c>
      <c r="AL209" s="88">
        <f t="shared" si="33"/>
        <v>139.80000000000001</v>
      </c>
      <c r="AM209" s="89"/>
    </row>
    <row r="210" spans="1:39" x14ac:dyDescent="0.3">
      <c r="A210" s="84" t="s">
        <v>33</v>
      </c>
      <c r="B210" s="85">
        <v>2018</v>
      </c>
      <c r="C210" s="85" t="s">
        <v>43</v>
      </c>
      <c r="D210" s="85">
        <v>137.6</v>
      </c>
      <c r="E210" s="85">
        <v>144.9</v>
      </c>
      <c r="F210" s="85">
        <v>133.5</v>
      </c>
      <c r="G210" s="85">
        <v>141.5</v>
      </c>
      <c r="H210" s="85">
        <v>118</v>
      </c>
      <c r="I210" s="85">
        <v>139.5</v>
      </c>
      <c r="J210" s="85">
        <v>153</v>
      </c>
      <c r="K210" s="85">
        <v>113.2</v>
      </c>
      <c r="L210" s="85">
        <v>112.8</v>
      </c>
      <c r="M210" s="85">
        <v>141.1</v>
      </c>
      <c r="N210" s="85">
        <v>127.6</v>
      </c>
      <c r="O210" s="85">
        <v>152</v>
      </c>
      <c r="P210" s="85">
        <v>139.4</v>
      </c>
      <c r="Q210" s="85">
        <v>164</v>
      </c>
      <c r="R210" s="85">
        <v>141.5</v>
      </c>
      <c r="S210" s="85">
        <v>129.80000000000001</v>
      </c>
      <c r="T210" s="85">
        <v>139.69999999999999</v>
      </c>
      <c r="U210" s="85">
        <v>146.30000000000001</v>
      </c>
      <c r="V210" s="85">
        <v>133.4</v>
      </c>
      <c r="W210" s="85">
        <v>135.1</v>
      </c>
      <c r="X210" s="85">
        <v>136.19999999999999</v>
      </c>
      <c r="Y210" s="85">
        <v>123.3</v>
      </c>
      <c r="Z210" s="85">
        <v>130.69999999999999</v>
      </c>
      <c r="AA210" s="85">
        <v>145.5</v>
      </c>
      <c r="AB210" s="85">
        <v>130.4</v>
      </c>
      <c r="AC210" s="85">
        <v>132.5</v>
      </c>
      <c r="AD210" s="85">
        <v>138.9</v>
      </c>
      <c r="AE210" s="85">
        <f t="shared" si="26"/>
        <v>1754.1</v>
      </c>
      <c r="AF210" s="85">
        <f t="shared" si="27"/>
        <v>164</v>
      </c>
      <c r="AG210" s="85">
        <f t="shared" si="28"/>
        <v>411</v>
      </c>
      <c r="AH210" s="85">
        <f t="shared" si="29"/>
        <v>414.80000000000007</v>
      </c>
      <c r="AI210" s="85">
        <f t="shared" si="30"/>
        <v>412.1</v>
      </c>
      <c r="AJ210" s="85">
        <f t="shared" si="31"/>
        <v>123.3</v>
      </c>
      <c r="AK210" s="85">
        <f t="shared" si="32"/>
        <v>130.69999999999999</v>
      </c>
      <c r="AL210" s="85">
        <f t="shared" si="33"/>
        <v>132.5</v>
      </c>
      <c r="AM210" s="86"/>
    </row>
    <row r="211" spans="1:39" x14ac:dyDescent="0.3">
      <c r="A211" s="87" t="s">
        <v>34</v>
      </c>
      <c r="B211" s="88">
        <v>2018</v>
      </c>
      <c r="C211" s="88" t="s">
        <v>43</v>
      </c>
      <c r="D211" s="88">
        <v>137.4</v>
      </c>
      <c r="E211" s="88">
        <v>149.5</v>
      </c>
      <c r="F211" s="88">
        <v>137.30000000000001</v>
      </c>
      <c r="G211" s="88">
        <v>141.9</v>
      </c>
      <c r="H211" s="88">
        <v>121.1</v>
      </c>
      <c r="I211" s="88">
        <v>142.5</v>
      </c>
      <c r="J211" s="88">
        <v>146.69999999999999</v>
      </c>
      <c r="K211" s="88">
        <v>119.1</v>
      </c>
      <c r="L211" s="88">
        <v>111.9</v>
      </c>
      <c r="M211" s="88">
        <v>141</v>
      </c>
      <c r="N211" s="88">
        <v>133.6</v>
      </c>
      <c r="O211" s="88">
        <v>154.5</v>
      </c>
      <c r="P211" s="88">
        <v>139.69999999999999</v>
      </c>
      <c r="Q211" s="88">
        <v>162.6</v>
      </c>
      <c r="R211" s="88">
        <v>148</v>
      </c>
      <c r="S211" s="88">
        <v>139.19999999999999</v>
      </c>
      <c r="T211" s="88">
        <v>146.80000000000001</v>
      </c>
      <c r="U211" s="88">
        <v>146.9</v>
      </c>
      <c r="V211" s="88">
        <v>145.30000000000001</v>
      </c>
      <c r="W211" s="88">
        <v>142.19999999999999</v>
      </c>
      <c r="X211" s="88">
        <v>142.1</v>
      </c>
      <c r="Y211" s="88">
        <v>125.5</v>
      </c>
      <c r="Z211" s="88">
        <v>136.5</v>
      </c>
      <c r="AA211" s="88">
        <v>147.80000000000001</v>
      </c>
      <c r="AB211" s="88">
        <v>132</v>
      </c>
      <c r="AC211" s="88">
        <v>136.30000000000001</v>
      </c>
      <c r="AD211" s="88">
        <v>140.80000000000001</v>
      </c>
      <c r="AE211" s="88">
        <f t="shared" si="26"/>
        <v>1776.2</v>
      </c>
      <c r="AF211" s="88">
        <f t="shared" si="27"/>
        <v>162.6</v>
      </c>
      <c r="AG211" s="88">
        <f t="shared" si="28"/>
        <v>434</v>
      </c>
      <c r="AH211" s="88">
        <f t="shared" si="29"/>
        <v>434.40000000000003</v>
      </c>
      <c r="AI211" s="88">
        <f t="shared" si="30"/>
        <v>421.9</v>
      </c>
      <c r="AJ211" s="88">
        <f t="shared" si="31"/>
        <v>125.5</v>
      </c>
      <c r="AK211" s="88">
        <f t="shared" si="32"/>
        <v>136.5</v>
      </c>
      <c r="AL211" s="88">
        <f t="shared" si="33"/>
        <v>136.30000000000001</v>
      </c>
      <c r="AM211" s="89"/>
    </row>
    <row r="212" spans="1:39" x14ac:dyDescent="0.3">
      <c r="A212" s="84" t="s">
        <v>30</v>
      </c>
      <c r="B212" s="85">
        <v>2018</v>
      </c>
      <c r="C212" s="85" t="s">
        <v>45</v>
      </c>
      <c r="D212" s="85">
        <v>137.1</v>
      </c>
      <c r="E212" s="85">
        <v>150.80000000000001</v>
      </c>
      <c r="F212" s="85">
        <v>136.69999999999999</v>
      </c>
      <c r="G212" s="85">
        <v>141.9</v>
      </c>
      <c r="H212" s="85">
        <v>122.8</v>
      </c>
      <c r="I212" s="85">
        <v>143.9</v>
      </c>
      <c r="J212" s="85">
        <v>147.5</v>
      </c>
      <c r="K212" s="85">
        <v>121</v>
      </c>
      <c r="L212" s="85">
        <v>111.6</v>
      </c>
      <c r="M212" s="85">
        <v>140.6</v>
      </c>
      <c r="N212" s="85">
        <v>137.5</v>
      </c>
      <c r="O212" s="85">
        <v>156.1</v>
      </c>
      <c r="P212" s="85">
        <v>140</v>
      </c>
      <c r="Q212" s="85">
        <v>161.9</v>
      </c>
      <c r="R212" s="85">
        <v>151.69999999999999</v>
      </c>
      <c r="S212" s="85">
        <v>145.5</v>
      </c>
      <c r="T212" s="85">
        <v>150.80000000000001</v>
      </c>
      <c r="U212" s="85" t="s">
        <v>32</v>
      </c>
      <c r="V212" s="85">
        <v>150.30000000000001</v>
      </c>
      <c r="W212" s="85">
        <v>148</v>
      </c>
      <c r="X212" s="85">
        <v>145.4</v>
      </c>
      <c r="Y212" s="85">
        <v>130.30000000000001</v>
      </c>
      <c r="Z212" s="85">
        <v>143.1</v>
      </c>
      <c r="AA212" s="85">
        <v>150.19999999999999</v>
      </c>
      <c r="AB212" s="85">
        <v>133.1</v>
      </c>
      <c r="AC212" s="85">
        <v>140.1</v>
      </c>
      <c r="AD212" s="85">
        <v>142.4</v>
      </c>
      <c r="AE212" s="85">
        <f t="shared" si="26"/>
        <v>1787.4999999999995</v>
      </c>
      <c r="AF212" s="85">
        <f t="shared" si="27"/>
        <v>161.9</v>
      </c>
      <c r="AG212" s="85">
        <f t="shared" si="28"/>
        <v>448</v>
      </c>
      <c r="AH212" s="85">
        <f t="shared" si="29"/>
        <v>298.3</v>
      </c>
      <c r="AI212" s="85">
        <f t="shared" si="30"/>
        <v>428.70000000000005</v>
      </c>
      <c r="AJ212" s="85">
        <f t="shared" si="31"/>
        <v>130.30000000000001</v>
      </c>
      <c r="AK212" s="85">
        <f t="shared" si="32"/>
        <v>143.1</v>
      </c>
      <c r="AL212" s="85">
        <f t="shared" si="33"/>
        <v>140.1</v>
      </c>
      <c r="AM212" s="86"/>
    </row>
    <row r="213" spans="1:39" x14ac:dyDescent="0.3">
      <c r="A213" s="87" t="s">
        <v>33</v>
      </c>
      <c r="B213" s="88">
        <v>2018</v>
      </c>
      <c r="C213" s="88" t="s">
        <v>45</v>
      </c>
      <c r="D213" s="88">
        <v>138.1</v>
      </c>
      <c r="E213" s="88">
        <v>146.30000000000001</v>
      </c>
      <c r="F213" s="88">
        <v>137.80000000000001</v>
      </c>
      <c r="G213" s="88">
        <v>141.6</v>
      </c>
      <c r="H213" s="88">
        <v>118.1</v>
      </c>
      <c r="I213" s="88">
        <v>141.5</v>
      </c>
      <c r="J213" s="88">
        <v>145.19999999999999</v>
      </c>
      <c r="K213" s="88">
        <v>115.3</v>
      </c>
      <c r="L213" s="88">
        <v>112.5</v>
      </c>
      <c r="M213" s="88">
        <v>141.4</v>
      </c>
      <c r="N213" s="88">
        <v>128</v>
      </c>
      <c r="O213" s="88">
        <v>152.6</v>
      </c>
      <c r="P213" s="88">
        <v>139.1</v>
      </c>
      <c r="Q213" s="88">
        <v>164.4</v>
      </c>
      <c r="R213" s="88">
        <v>142.4</v>
      </c>
      <c r="S213" s="88">
        <v>130.19999999999999</v>
      </c>
      <c r="T213" s="88">
        <v>140.5</v>
      </c>
      <c r="U213" s="88">
        <v>146.9</v>
      </c>
      <c r="V213" s="88">
        <v>136.69999999999999</v>
      </c>
      <c r="W213" s="88">
        <v>135.80000000000001</v>
      </c>
      <c r="X213" s="88">
        <v>136.80000000000001</v>
      </c>
      <c r="Y213" s="88">
        <v>121.2</v>
      </c>
      <c r="Z213" s="88">
        <v>131.30000000000001</v>
      </c>
      <c r="AA213" s="88">
        <v>146.1</v>
      </c>
      <c r="AB213" s="88">
        <v>130.5</v>
      </c>
      <c r="AC213" s="88">
        <v>132.19999999999999</v>
      </c>
      <c r="AD213" s="88">
        <v>139</v>
      </c>
      <c r="AE213" s="88">
        <f t="shared" si="26"/>
        <v>1757.4999999999998</v>
      </c>
      <c r="AF213" s="88">
        <f t="shared" si="27"/>
        <v>164.4</v>
      </c>
      <c r="AG213" s="88">
        <f t="shared" si="28"/>
        <v>413.1</v>
      </c>
      <c r="AH213" s="88">
        <f t="shared" si="29"/>
        <v>419.40000000000003</v>
      </c>
      <c r="AI213" s="88">
        <f t="shared" si="30"/>
        <v>413.4</v>
      </c>
      <c r="AJ213" s="88">
        <f t="shared" si="31"/>
        <v>121.2</v>
      </c>
      <c r="AK213" s="88">
        <f t="shared" si="32"/>
        <v>131.30000000000001</v>
      </c>
      <c r="AL213" s="88">
        <f t="shared" si="33"/>
        <v>132.19999999999999</v>
      </c>
      <c r="AM213" s="89"/>
    </row>
    <row r="214" spans="1:39" x14ac:dyDescent="0.3">
      <c r="A214" s="84" t="s">
        <v>34</v>
      </c>
      <c r="B214" s="85">
        <v>2018</v>
      </c>
      <c r="C214" s="85" t="s">
        <v>45</v>
      </c>
      <c r="D214" s="85">
        <v>137.4</v>
      </c>
      <c r="E214" s="85">
        <v>149.19999999999999</v>
      </c>
      <c r="F214" s="85">
        <v>137.1</v>
      </c>
      <c r="G214" s="85">
        <v>141.80000000000001</v>
      </c>
      <c r="H214" s="85">
        <v>121.1</v>
      </c>
      <c r="I214" s="85">
        <v>142.80000000000001</v>
      </c>
      <c r="J214" s="85">
        <v>146.69999999999999</v>
      </c>
      <c r="K214" s="85">
        <v>119.1</v>
      </c>
      <c r="L214" s="85">
        <v>111.9</v>
      </c>
      <c r="M214" s="85">
        <v>140.9</v>
      </c>
      <c r="N214" s="85">
        <v>133.5</v>
      </c>
      <c r="O214" s="85">
        <v>154.5</v>
      </c>
      <c r="P214" s="85">
        <v>139.69999999999999</v>
      </c>
      <c r="Q214" s="85">
        <v>162.6</v>
      </c>
      <c r="R214" s="85">
        <v>148</v>
      </c>
      <c r="S214" s="85">
        <v>139.1</v>
      </c>
      <c r="T214" s="85">
        <v>146.69999999999999</v>
      </c>
      <c r="U214" s="85">
        <v>146.9</v>
      </c>
      <c r="V214" s="85">
        <v>145.1</v>
      </c>
      <c r="W214" s="85">
        <v>142.19999999999999</v>
      </c>
      <c r="X214" s="85">
        <v>142.1</v>
      </c>
      <c r="Y214" s="85">
        <v>125.5</v>
      </c>
      <c r="Z214" s="85">
        <v>136.5</v>
      </c>
      <c r="AA214" s="85">
        <v>147.80000000000001</v>
      </c>
      <c r="AB214" s="85">
        <v>132</v>
      </c>
      <c r="AC214" s="85">
        <v>136.30000000000001</v>
      </c>
      <c r="AD214" s="85">
        <v>140.80000000000001</v>
      </c>
      <c r="AE214" s="85">
        <f t="shared" si="26"/>
        <v>1775.7000000000003</v>
      </c>
      <c r="AF214" s="85">
        <f t="shared" si="27"/>
        <v>162.6</v>
      </c>
      <c r="AG214" s="85">
        <f t="shared" si="28"/>
        <v>433.8</v>
      </c>
      <c r="AH214" s="85">
        <f t="shared" si="29"/>
        <v>434.2</v>
      </c>
      <c r="AI214" s="85">
        <f t="shared" si="30"/>
        <v>421.9</v>
      </c>
      <c r="AJ214" s="85">
        <f t="shared" si="31"/>
        <v>125.5</v>
      </c>
      <c r="AK214" s="85">
        <f t="shared" si="32"/>
        <v>136.5</v>
      </c>
      <c r="AL214" s="85">
        <f t="shared" si="33"/>
        <v>136.30000000000001</v>
      </c>
      <c r="AM214" s="86"/>
    </row>
    <row r="215" spans="1:39" x14ac:dyDescent="0.3">
      <c r="A215" s="87" t="s">
        <v>30</v>
      </c>
      <c r="B215" s="88">
        <v>2018</v>
      </c>
      <c r="C215" s="88" t="s">
        <v>46</v>
      </c>
      <c r="D215" s="88">
        <v>137.1</v>
      </c>
      <c r="E215" s="88">
        <v>151.9</v>
      </c>
      <c r="F215" s="88">
        <v>137.4</v>
      </c>
      <c r="G215" s="88">
        <v>142.4</v>
      </c>
      <c r="H215" s="88">
        <v>124.2</v>
      </c>
      <c r="I215" s="88">
        <v>140.19999999999999</v>
      </c>
      <c r="J215" s="88">
        <v>136.6</v>
      </c>
      <c r="K215" s="88">
        <v>120.9</v>
      </c>
      <c r="L215" s="88">
        <v>109.9</v>
      </c>
      <c r="M215" s="88">
        <v>140.19999999999999</v>
      </c>
      <c r="N215" s="88">
        <v>137.80000000000001</v>
      </c>
      <c r="O215" s="88">
        <v>156</v>
      </c>
      <c r="P215" s="88">
        <v>138.5</v>
      </c>
      <c r="Q215" s="88">
        <v>162.4</v>
      </c>
      <c r="R215" s="88">
        <v>151.6</v>
      </c>
      <c r="S215" s="88">
        <v>145.9</v>
      </c>
      <c r="T215" s="88">
        <v>150.80000000000001</v>
      </c>
      <c r="U215" s="88" t="s">
        <v>32</v>
      </c>
      <c r="V215" s="88">
        <v>149</v>
      </c>
      <c r="W215" s="88">
        <v>149.5</v>
      </c>
      <c r="X215" s="88">
        <v>149.6</v>
      </c>
      <c r="Y215" s="88">
        <v>128.9</v>
      </c>
      <c r="Z215" s="88">
        <v>143.30000000000001</v>
      </c>
      <c r="AA215" s="88">
        <v>155.1</v>
      </c>
      <c r="AB215" s="88">
        <v>133.19999999999999</v>
      </c>
      <c r="AC215" s="88">
        <v>141.6</v>
      </c>
      <c r="AD215" s="88">
        <v>141.9</v>
      </c>
      <c r="AE215" s="88">
        <f t="shared" si="26"/>
        <v>1773.1000000000001</v>
      </c>
      <c r="AF215" s="88">
        <f t="shared" si="27"/>
        <v>162.4</v>
      </c>
      <c r="AG215" s="88">
        <f t="shared" si="28"/>
        <v>448.3</v>
      </c>
      <c r="AH215" s="88">
        <f t="shared" si="29"/>
        <v>298.5</v>
      </c>
      <c r="AI215" s="88">
        <f t="shared" si="30"/>
        <v>437.9</v>
      </c>
      <c r="AJ215" s="88">
        <f t="shared" si="31"/>
        <v>128.9</v>
      </c>
      <c r="AK215" s="88">
        <f t="shared" si="32"/>
        <v>143.30000000000001</v>
      </c>
      <c r="AL215" s="88">
        <f t="shared" si="33"/>
        <v>141.6</v>
      </c>
      <c r="AM215" s="89"/>
    </row>
    <row r="216" spans="1:39" x14ac:dyDescent="0.3">
      <c r="A216" s="84" t="s">
        <v>33</v>
      </c>
      <c r="B216" s="85">
        <v>2018</v>
      </c>
      <c r="C216" s="85" t="s">
        <v>46</v>
      </c>
      <c r="D216" s="85">
        <v>138.5</v>
      </c>
      <c r="E216" s="85">
        <v>147.80000000000001</v>
      </c>
      <c r="F216" s="85">
        <v>141.1</v>
      </c>
      <c r="G216" s="85">
        <v>141.6</v>
      </c>
      <c r="H216" s="85">
        <v>118.1</v>
      </c>
      <c r="I216" s="85">
        <v>138.5</v>
      </c>
      <c r="J216" s="85">
        <v>132.4</v>
      </c>
      <c r="K216" s="85">
        <v>117.5</v>
      </c>
      <c r="L216" s="85">
        <v>111</v>
      </c>
      <c r="M216" s="85">
        <v>141.5</v>
      </c>
      <c r="N216" s="85">
        <v>128.1</v>
      </c>
      <c r="O216" s="85">
        <v>152.9</v>
      </c>
      <c r="P216" s="85">
        <v>137.6</v>
      </c>
      <c r="Q216" s="85">
        <v>164.6</v>
      </c>
      <c r="R216" s="85">
        <v>142.69999999999999</v>
      </c>
      <c r="S216" s="85">
        <v>130.30000000000001</v>
      </c>
      <c r="T216" s="85">
        <v>140.80000000000001</v>
      </c>
      <c r="U216" s="85">
        <v>146.5</v>
      </c>
      <c r="V216" s="85">
        <v>132.4</v>
      </c>
      <c r="W216" s="85">
        <v>136.19999999999999</v>
      </c>
      <c r="X216" s="85">
        <v>137.30000000000001</v>
      </c>
      <c r="Y216" s="85">
        <v>118.8</v>
      </c>
      <c r="Z216" s="85">
        <v>131.69999999999999</v>
      </c>
      <c r="AA216" s="85">
        <v>146.5</v>
      </c>
      <c r="AB216" s="85">
        <v>130.80000000000001</v>
      </c>
      <c r="AC216" s="85">
        <v>131.69999999999999</v>
      </c>
      <c r="AD216" s="85">
        <v>138</v>
      </c>
      <c r="AE216" s="85">
        <f t="shared" si="26"/>
        <v>1746.6</v>
      </c>
      <c r="AF216" s="85">
        <f t="shared" si="27"/>
        <v>164.6</v>
      </c>
      <c r="AG216" s="85">
        <f t="shared" si="28"/>
        <v>413.8</v>
      </c>
      <c r="AH216" s="85">
        <f t="shared" si="29"/>
        <v>415.09999999999997</v>
      </c>
      <c r="AI216" s="85">
        <f t="shared" si="30"/>
        <v>414.6</v>
      </c>
      <c r="AJ216" s="85">
        <f t="shared" si="31"/>
        <v>118.8</v>
      </c>
      <c r="AK216" s="85">
        <f t="shared" si="32"/>
        <v>131.69999999999999</v>
      </c>
      <c r="AL216" s="85">
        <f t="shared" si="33"/>
        <v>131.69999999999999</v>
      </c>
      <c r="AM216" s="86"/>
    </row>
    <row r="217" spans="1:39" x14ac:dyDescent="0.3">
      <c r="A217" s="87" t="s">
        <v>34</v>
      </c>
      <c r="B217" s="88">
        <v>2018</v>
      </c>
      <c r="C217" s="88" t="s">
        <v>46</v>
      </c>
      <c r="D217" s="88">
        <v>137.5</v>
      </c>
      <c r="E217" s="88">
        <v>150.5</v>
      </c>
      <c r="F217" s="88">
        <v>138.80000000000001</v>
      </c>
      <c r="G217" s="88">
        <v>142.1</v>
      </c>
      <c r="H217" s="88">
        <v>122</v>
      </c>
      <c r="I217" s="88">
        <v>139.4</v>
      </c>
      <c r="J217" s="88">
        <v>135.19999999999999</v>
      </c>
      <c r="K217" s="88">
        <v>119.8</v>
      </c>
      <c r="L217" s="88">
        <v>110.3</v>
      </c>
      <c r="M217" s="88">
        <v>140.6</v>
      </c>
      <c r="N217" s="88">
        <v>133.80000000000001</v>
      </c>
      <c r="O217" s="88">
        <v>154.6</v>
      </c>
      <c r="P217" s="88">
        <v>138.19999999999999</v>
      </c>
      <c r="Q217" s="88">
        <v>163</v>
      </c>
      <c r="R217" s="88">
        <v>148.1</v>
      </c>
      <c r="S217" s="88">
        <v>139.4</v>
      </c>
      <c r="T217" s="88">
        <v>146.80000000000001</v>
      </c>
      <c r="U217" s="88">
        <v>146.5</v>
      </c>
      <c r="V217" s="88">
        <v>142.69999999999999</v>
      </c>
      <c r="W217" s="88">
        <v>143.19999999999999</v>
      </c>
      <c r="X217" s="88">
        <v>144.9</v>
      </c>
      <c r="Y217" s="88">
        <v>123.6</v>
      </c>
      <c r="Z217" s="88">
        <v>136.80000000000001</v>
      </c>
      <c r="AA217" s="88">
        <v>150.1</v>
      </c>
      <c r="AB217" s="88">
        <v>132.19999999999999</v>
      </c>
      <c r="AC217" s="88">
        <v>136.80000000000001</v>
      </c>
      <c r="AD217" s="88">
        <v>140.1</v>
      </c>
      <c r="AE217" s="88">
        <f t="shared" si="26"/>
        <v>1762.7999999999997</v>
      </c>
      <c r="AF217" s="88">
        <f t="shared" si="27"/>
        <v>163</v>
      </c>
      <c r="AG217" s="88">
        <f t="shared" si="28"/>
        <v>434.3</v>
      </c>
      <c r="AH217" s="88">
        <f t="shared" si="29"/>
        <v>432.4</v>
      </c>
      <c r="AI217" s="88">
        <f t="shared" si="30"/>
        <v>427.2</v>
      </c>
      <c r="AJ217" s="88">
        <f t="shared" si="31"/>
        <v>123.6</v>
      </c>
      <c r="AK217" s="88">
        <f t="shared" si="32"/>
        <v>136.80000000000001</v>
      </c>
      <c r="AL217" s="88">
        <f t="shared" si="33"/>
        <v>136.80000000000001</v>
      </c>
      <c r="AM217" s="89"/>
    </row>
    <row r="218" spans="1:39" x14ac:dyDescent="0.3">
      <c r="A218" s="84" t="s">
        <v>30</v>
      </c>
      <c r="B218" s="85">
        <v>2019</v>
      </c>
      <c r="C218" s="85" t="s">
        <v>31</v>
      </c>
      <c r="D218" s="85">
        <v>136.6</v>
      </c>
      <c r="E218" s="85">
        <v>152.5</v>
      </c>
      <c r="F218" s="85">
        <v>138.19999999999999</v>
      </c>
      <c r="G218" s="85">
        <v>142.4</v>
      </c>
      <c r="H218" s="85">
        <v>123.9</v>
      </c>
      <c r="I218" s="85">
        <v>135.5</v>
      </c>
      <c r="J218" s="85">
        <v>131.69999999999999</v>
      </c>
      <c r="K218" s="85">
        <v>121.3</v>
      </c>
      <c r="L218" s="85">
        <v>108.4</v>
      </c>
      <c r="M218" s="85">
        <v>138.9</v>
      </c>
      <c r="N218" s="85">
        <v>137</v>
      </c>
      <c r="O218" s="85">
        <v>155.80000000000001</v>
      </c>
      <c r="P218" s="85">
        <v>137.4</v>
      </c>
      <c r="Q218" s="85">
        <v>162.69999999999999</v>
      </c>
      <c r="R218" s="85">
        <v>150.6</v>
      </c>
      <c r="S218" s="85">
        <v>145.1</v>
      </c>
      <c r="T218" s="85">
        <v>149.9</v>
      </c>
      <c r="U218" s="85" t="s">
        <v>32</v>
      </c>
      <c r="V218" s="85">
        <v>146.19999999999999</v>
      </c>
      <c r="W218" s="85">
        <v>150.1</v>
      </c>
      <c r="X218" s="85">
        <v>149.6</v>
      </c>
      <c r="Y218" s="85">
        <v>128.6</v>
      </c>
      <c r="Z218" s="85">
        <v>142.9</v>
      </c>
      <c r="AA218" s="85">
        <v>155.19999999999999</v>
      </c>
      <c r="AB218" s="85">
        <v>133.5</v>
      </c>
      <c r="AC218" s="85">
        <v>141.69999999999999</v>
      </c>
      <c r="AD218" s="85">
        <v>141</v>
      </c>
      <c r="AE218" s="85">
        <f t="shared" si="26"/>
        <v>1759.6000000000001</v>
      </c>
      <c r="AF218" s="85">
        <f t="shared" si="27"/>
        <v>162.69999999999999</v>
      </c>
      <c r="AG218" s="85">
        <f t="shared" si="28"/>
        <v>445.6</v>
      </c>
      <c r="AH218" s="85">
        <f t="shared" si="29"/>
        <v>296.29999999999995</v>
      </c>
      <c r="AI218" s="85">
        <f t="shared" si="30"/>
        <v>438.29999999999995</v>
      </c>
      <c r="AJ218" s="85">
        <f t="shared" si="31"/>
        <v>128.6</v>
      </c>
      <c r="AK218" s="85">
        <f t="shared" si="32"/>
        <v>142.9</v>
      </c>
      <c r="AL218" s="85">
        <f t="shared" si="33"/>
        <v>141.69999999999999</v>
      </c>
      <c r="AM218" s="86"/>
    </row>
    <row r="219" spans="1:39" x14ac:dyDescent="0.3">
      <c r="A219" s="87" t="s">
        <v>33</v>
      </c>
      <c r="B219" s="88">
        <v>2019</v>
      </c>
      <c r="C219" s="88" t="s">
        <v>31</v>
      </c>
      <c r="D219" s="88">
        <v>138.30000000000001</v>
      </c>
      <c r="E219" s="88">
        <v>149.4</v>
      </c>
      <c r="F219" s="88">
        <v>143.5</v>
      </c>
      <c r="G219" s="88">
        <v>141.69999999999999</v>
      </c>
      <c r="H219" s="88">
        <v>118.1</v>
      </c>
      <c r="I219" s="88">
        <v>135.19999999999999</v>
      </c>
      <c r="J219" s="88">
        <v>130.5</v>
      </c>
      <c r="K219" s="88">
        <v>118.2</v>
      </c>
      <c r="L219" s="88">
        <v>110.4</v>
      </c>
      <c r="M219" s="88">
        <v>140.4</v>
      </c>
      <c r="N219" s="88">
        <v>128.1</v>
      </c>
      <c r="O219" s="88">
        <v>153.19999999999999</v>
      </c>
      <c r="P219" s="88">
        <v>137.30000000000001</v>
      </c>
      <c r="Q219" s="88">
        <v>164.7</v>
      </c>
      <c r="R219" s="88">
        <v>143</v>
      </c>
      <c r="S219" s="88">
        <v>130.4</v>
      </c>
      <c r="T219" s="88">
        <v>141.1</v>
      </c>
      <c r="U219" s="88">
        <v>147.69999999999999</v>
      </c>
      <c r="V219" s="88">
        <v>128.6</v>
      </c>
      <c r="W219" s="88">
        <v>136.30000000000001</v>
      </c>
      <c r="X219" s="88">
        <v>137.80000000000001</v>
      </c>
      <c r="Y219" s="88">
        <v>118.6</v>
      </c>
      <c r="Z219" s="88">
        <v>131.9</v>
      </c>
      <c r="AA219" s="88">
        <v>146.6</v>
      </c>
      <c r="AB219" s="88">
        <v>131.69999999999999</v>
      </c>
      <c r="AC219" s="88">
        <v>131.80000000000001</v>
      </c>
      <c r="AD219" s="88">
        <v>138</v>
      </c>
      <c r="AE219" s="88">
        <f t="shared" si="26"/>
        <v>1744.3000000000002</v>
      </c>
      <c r="AF219" s="88">
        <f t="shared" si="27"/>
        <v>164.7</v>
      </c>
      <c r="AG219" s="88">
        <f t="shared" si="28"/>
        <v>414.5</v>
      </c>
      <c r="AH219" s="88">
        <f t="shared" si="29"/>
        <v>412.59999999999997</v>
      </c>
      <c r="AI219" s="88">
        <f t="shared" si="30"/>
        <v>416.09999999999997</v>
      </c>
      <c r="AJ219" s="88">
        <f t="shared" si="31"/>
        <v>118.6</v>
      </c>
      <c r="AK219" s="88">
        <f t="shared" si="32"/>
        <v>131.9</v>
      </c>
      <c r="AL219" s="88">
        <f t="shared" si="33"/>
        <v>131.80000000000001</v>
      </c>
      <c r="AM219" s="89"/>
    </row>
    <row r="220" spans="1:39" x14ac:dyDescent="0.3">
      <c r="A220" s="84" t="s">
        <v>34</v>
      </c>
      <c r="B220" s="85">
        <v>2019</v>
      </c>
      <c r="C220" s="85" t="s">
        <v>31</v>
      </c>
      <c r="D220" s="85">
        <v>137.1</v>
      </c>
      <c r="E220" s="85">
        <v>151.4</v>
      </c>
      <c r="F220" s="85">
        <v>140.19999999999999</v>
      </c>
      <c r="G220" s="85">
        <v>142.1</v>
      </c>
      <c r="H220" s="85">
        <v>121.8</v>
      </c>
      <c r="I220" s="85">
        <v>135.4</v>
      </c>
      <c r="J220" s="85">
        <v>131.30000000000001</v>
      </c>
      <c r="K220" s="85">
        <v>120.3</v>
      </c>
      <c r="L220" s="85">
        <v>109.1</v>
      </c>
      <c r="M220" s="85">
        <v>139.4</v>
      </c>
      <c r="N220" s="85">
        <v>133.30000000000001</v>
      </c>
      <c r="O220" s="85">
        <v>154.6</v>
      </c>
      <c r="P220" s="85">
        <v>137.4</v>
      </c>
      <c r="Q220" s="85">
        <v>163.19999999999999</v>
      </c>
      <c r="R220" s="85">
        <v>147.6</v>
      </c>
      <c r="S220" s="85">
        <v>139</v>
      </c>
      <c r="T220" s="85">
        <v>146.4</v>
      </c>
      <c r="U220" s="85">
        <v>147.69999999999999</v>
      </c>
      <c r="V220" s="85">
        <v>139.5</v>
      </c>
      <c r="W220" s="85">
        <v>143.6</v>
      </c>
      <c r="X220" s="85">
        <v>145.1</v>
      </c>
      <c r="Y220" s="85">
        <v>123.3</v>
      </c>
      <c r="Z220" s="85">
        <v>136.69999999999999</v>
      </c>
      <c r="AA220" s="85">
        <v>150.19999999999999</v>
      </c>
      <c r="AB220" s="85">
        <v>132.80000000000001</v>
      </c>
      <c r="AC220" s="85">
        <v>136.9</v>
      </c>
      <c r="AD220" s="85">
        <v>139.6</v>
      </c>
      <c r="AE220" s="85">
        <f t="shared" si="26"/>
        <v>1753.3999999999999</v>
      </c>
      <c r="AF220" s="85">
        <f t="shared" si="27"/>
        <v>163.19999999999999</v>
      </c>
      <c r="AG220" s="85">
        <f t="shared" si="28"/>
        <v>433</v>
      </c>
      <c r="AH220" s="85">
        <f t="shared" si="29"/>
        <v>430.79999999999995</v>
      </c>
      <c r="AI220" s="85">
        <f t="shared" si="30"/>
        <v>428.09999999999997</v>
      </c>
      <c r="AJ220" s="85">
        <f t="shared" si="31"/>
        <v>123.3</v>
      </c>
      <c r="AK220" s="85">
        <f t="shared" si="32"/>
        <v>136.69999999999999</v>
      </c>
      <c r="AL220" s="85">
        <f t="shared" si="33"/>
        <v>136.9</v>
      </c>
      <c r="AM220" s="86"/>
    </row>
    <row r="221" spans="1:39" x14ac:dyDescent="0.3">
      <c r="A221" s="87" t="s">
        <v>30</v>
      </c>
      <c r="B221" s="88">
        <v>2019</v>
      </c>
      <c r="C221" s="88" t="s">
        <v>35</v>
      </c>
      <c r="D221" s="88">
        <v>136.80000000000001</v>
      </c>
      <c r="E221" s="88">
        <v>153</v>
      </c>
      <c r="F221" s="88">
        <v>139.1</v>
      </c>
      <c r="G221" s="88">
        <v>142.5</v>
      </c>
      <c r="H221" s="88">
        <v>124.1</v>
      </c>
      <c r="I221" s="88">
        <v>135.80000000000001</v>
      </c>
      <c r="J221" s="88">
        <v>128.69999999999999</v>
      </c>
      <c r="K221" s="88">
        <v>121.5</v>
      </c>
      <c r="L221" s="88">
        <v>108.3</v>
      </c>
      <c r="M221" s="88">
        <v>139.19999999999999</v>
      </c>
      <c r="N221" s="88">
        <v>137.4</v>
      </c>
      <c r="O221" s="88">
        <v>156.19999999999999</v>
      </c>
      <c r="P221" s="88">
        <v>137.19999999999999</v>
      </c>
      <c r="Q221" s="88">
        <v>162.80000000000001</v>
      </c>
      <c r="R221" s="88">
        <v>150.5</v>
      </c>
      <c r="S221" s="88">
        <v>146.1</v>
      </c>
      <c r="T221" s="88">
        <v>149.9</v>
      </c>
      <c r="U221" s="88" t="s">
        <v>32</v>
      </c>
      <c r="V221" s="88">
        <v>145.30000000000001</v>
      </c>
      <c r="W221" s="88">
        <v>150.1</v>
      </c>
      <c r="X221" s="88">
        <v>149.9</v>
      </c>
      <c r="Y221" s="88">
        <v>129.19999999999999</v>
      </c>
      <c r="Z221" s="88">
        <v>143.4</v>
      </c>
      <c r="AA221" s="88">
        <v>155.5</v>
      </c>
      <c r="AB221" s="88">
        <v>134.9</v>
      </c>
      <c r="AC221" s="88">
        <v>142.19999999999999</v>
      </c>
      <c r="AD221" s="88">
        <v>141</v>
      </c>
      <c r="AE221" s="88">
        <f t="shared" si="26"/>
        <v>1759.8000000000002</v>
      </c>
      <c r="AF221" s="88">
        <f t="shared" si="27"/>
        <v>162.80000000000001</v>
      </c>
      <c r="AG221" s="88">
        <f t="shared" si="28"/>
        <v>446.5</v>
      </c>
      <c r="AH221" s="88">
        <f t="shared" si="29"/>
        <v>295.39999999999998</v>
      </c>
      <c r="AI221" s="88">
        <f t="shared" si="30"/>
        <v>440.29999999999995</v>
      </c>
      <c r="AJ221" s="88">
        <f t="shared" si="31"/>
        <v>129.19999999999999</v>
      </c>
      <c r="AK221" s="88">
        <f t="shared" si="32"/>
        <v>143.4</v>
      </c>
      <c r="AL221" s="88">
        <f t="shared" si="33"/>
        <v>142.19999999999999</v>
      </c>
      <c r="AM221" s="89"/>
    </row>
    <row r="222" spans="1:39" x14ac:dyDescent="0.3">
      <c r="A222" s="84" t="s">
        <v>33</v>
      </c>
      <c r="B222" s="85">
        <v>2019</v>
      </c>
      <c r="C222" s="85" t="s">
        <v>35</v>
      </c>
      <c r="D222" s="85">
        <v>139.4</v>
      </c>
      <c r="E222" s="85">
        <v>150.1</v>
      </c>
      <c r="F222" s="85">
        <v>145.30000000000001</v>
      </c>
      <c r="G222" s="85">
        <v>141.69999999999999</v>
      </c>
      <c r="H222" s="85">
        <v>118.4</v>
      </c>
      <c r="I222" s="85">
        <v>137</v>
      </c>
      <c r="J222" s="85">
        <v>131.6</v>
      </c>
      <c r="K222" s="85">
        <v>119.9</v>
      </c>
      <c r="L222" s="85">
        <v>110.4</v>
      </c>
      <c r="M222" s="85">
        <v>140.80000000000001</v>
      </c>
      <c r="N222" s="85">
        <v>128.30000000000001</v>
      </c>
      <c r="O222" s="85">
        <v>153.5</v>
      </c>
      <c r="P222" s="85">
        <v>138</v>
      </c>
      <c r="Q222" s="85">
        <v>164.9</v>
      </c>
      <c r="R222" s="85">
        <v>143.30000000000001</v>
      </c>
      <c r="S222" s="85">
        <v>130.80000000000001</v>
      </c>
      <c r="T222" s="85">
        <v>141.4</v>
      </c>
      <c r="U222" s="85">
        <v>148.5</v>
      </c>
      <c r="V222" s="85">
        <v>127.1</v>
      </c>
      <c r="W222" s="85">
        <v>136.6</v>
      </c>
      <c r="X222" s="85">
        <v>138.5</v>
      </c>
      <c r="Y222" s="85">
        <v>119.2</v>
      </c>
      <c r="Z222" s="85">
        <v>132.19999999999999</v>
      </c>
      <c r="AA222" s="85">
        <v>146.6</v>
      </c>
      <c r="AB222" s="85">
        <v>133</v>
      </c>
      <c r="AC222" s="85">
        <v>132.4</v>
      </c>
      <c r="AD222" s="85">
        <v>138.6</v>
      </c>
      <c r="AE222" s="85">
        <f t="shared" si="26"/>
        <v>1754.4</v>
      </c>
      <c r="AF222" s="85">
        <f t="shared" si="27"/>
        <v>164.9</v>
      </c>
      <c r="AG222" s="85">
        <f t="shared" si="28"/>
        <v>415.5</v>
      </c>
      <c r="AH222" s="85">
        <f t="shared" si="29"/>
        <v>412.20000000000005</v>
      </c>
      <c r="AI222" s="85">
        <f t="shared" si="30"/>
        <v>418.1</v>
      </c>
      <c r="AJ222" s="85">
        <f t="shared" si="31"/>
        <v>119.2</v>
      </c>
      <c r="AK222" s="85">
        <f t="shared" si="32"/>
        <v>132.19999999999999</v>
      </c>
      <c r="AL222" s="85">
        <f t="shared" si="33"/>
        <v>132.4</v>
      </c>
      <c r="AM222" s="86"/>
    </row>
    <row r="223" spans="1:39" x14ac:dyDescent="0.3">
      <c r="A223" s="87" t="s">
        <v>34</v>
      </c>
      <c r="B223" s="88">
        <v>2019</v>
      </c>
      <c r="C223" s="88" t="s">
        <v>35</v>
      </c>
      <c r="D223" s="88">
        <v>137.6</v>
      </c>
      <c r="E223" s="88">
        <v>152</v>
      </c>
      <c r="F223" s="88">
        <v>141.5</v>
      </c>
      <c r="G223" s="88">
        <v>142.19999999999999</v>
      </c>
      <c r="H223" s="88">
        <v>122</v>
      </c>
      <c r="I223" s="88">
        <v>136.4</v>
      </c>
      <c r="J223" s="88">
        <v>129.69999999999999</v>
      </c>
      <c r="K223" s="88">
        <v>121</v>
      </c>
      <c r="L223" s="88">
        <v>109</v>
      </c>
      <c r="M223" s="88">
        <v>139.69999999999999</v>
      </c>
      <c r="N223" s="88">
        <v>133.6</v>
      </c>
      <c r="O223" s="88">
        <v>154.9</v>
      </c>
      <c r="P223" s="88">
        <v>137.5</v>
      </c>
      <c r="Q223" s="88">
        <v>163.4</v>
      </c>
      <c r="R223" s="88">
        <v>147.69999999999999</v>
      </c>
      <c r="S223" s="88">
        <v>139.69999999999999</v>
      </c>
      <c r="T223" s="88">
        <v>146.5</v>
      </c>
      <c r="U223" s="88">
        <v>148.5</v>
      </c>
      <c r="V223" s="88">
        <v>138.4</v>
      </c>
      <c r="W223" s="88">
        <v>143.69999999999999</v>
      </c>
      <c r="X223" s="88">
        <v>145.6</v>
      </c>
      <c r="Y223" s="88">
        <v>123.9</v>
      </c>
      <c r="Z223" s="88">
        <v>137.1</v>
      </c>
      <c r="AA223" s="88">
        <v>150.30000000000001</v>
      </c>
      <c r="AB223" s="88">
        <v>134.1</v>
      </c>
      <c r="AC223" s="88">
        <v>137.4</v>
      </c>
      <c r="AD223" s="88">
        <v>139.9</v>
      </c>
      <c r="AE223" s="88">
        <f t="shared" si="26"/>
        <v>1757.1</v>
      </c>
      <c r="AF223" s="88">
        <f t="shared" si="27"/>
        <v>163.4</v>
      </c>
      <c r="AG223" s="88">
        <f t="shared" si="28"/>
        <v>433.9</v>
      </c>
      <c r="AH223" s="88">
        <f t="shared" si="29"/>
        <v>430.59999999999997</v>
      </c>
      <c r="AI223" s="88">
        <f t="shared" si="30"/>
        <v>430</v>
      </c>
      <c r="AJ223" s="88">
        <f t="shared" si="31"/>
        <v>123.9</v>
      </c>
      <c r="AK223" s="88">
        <f t="shared" si="32"/>
        <v>137.1</v>
      </c>
      <c r="AL223" s="88">
        <f t="shared" si="33"/>
        <v>137.4</v>
      </c>
      <c r="AM223" s="89"/>
    </row>
    <row r="224" spans="1:39" x14ac:dyDescent="0.3">
      <c r="A224" s="84" t="s">
        <v>30</v>
      </c>
      <c r="B224" s="85">
        <v>2019</v>
      </c>
      <c r="C224" s="85" t="s">
        <v>36</v>
      </c>
      <c r="D224" s="85">
        <v>136.9</v>
      </c>
      <c r="E224" s="85">
        <v>154.1</v>
      </c>
      <c r="F224" s="85">
        <v>138.69999999999999</v>
      </c>
      <c r="G224" s="85">
        <v>142.5</v>
      </c>
      <c r="H224" s="85">
        <v>124.1</v>
      </c>
      <c r="I224" s="85">
        <v>136.1</v>
      </c>
      <c r="J224" s="85">
        <v>128.19999999999999</v>
      </c>
      <c r="K224" s="85">
        <v>122.3</v>
      </c>
      <c r="L224" s="85">
        <v>108.3</v>
      </c>
      <c r="M224" s="85">
        <v>138.9</v>
      </c>
      <c r="N224" s="85">
        <v>137.4</v>
      </c>
      <c r="O224" s="85">
        <v>156.4</v>
      </c>
      <c r="P224" s="85">
        <v>137.30000000000001</v>
      </c>
      <c r="Q224" s="85">
        <v>162.9</v>
      </c>
      <c r="R224" s="85">
        <v>150.80000000000001</v>
      </c>
      <c r="S224" s="85">
        <v>146.1</v>
      </c>
      <c r="T224" s="85">
        <v>150.1</v>
      </c>
      <c r="U224" s="85" t="s">
        <v>32</v>
      </c>
      <c r="V224" s="85">
        <v>146.4</v>
      </c>
      <c r="W224" s="85">
        <v>150</v>
      </c>
      <c r="X224" s="85">
        <v>150.4</v>
      </c>
      <c r="Y224" s="85">
        <v>129.9</v>
      </c>
      <c r="Z224" s="85">
        <v>143.80000000000001</v>
      </c>
      <c r="AA224" s="85">
        <v>155.5</v>
      </c>
      <c r="AB224" s="85">
        <v>134</v>
      </c>
      <c r="AC224" s="85">
        <v>142.4</v>
      </c>
      <c r="AD224" s="85">
        <v>141.19999999999999</v>
      </c>
      <c r="AE224" s="85">
        <f t="shared" si="26"/>
        <v>1761.2000000000003</v>
      </c>
      <c r="AF224" s="85">
        <f t="shared" si="27"/>
        <v>162.9</v>
      </c>
      <c r="AG224" s="85">
        <f t="shared" si="28"/>
        <v>447</v>
      </c>
      <c r="AH224" s="85">
        <f t="shared" si="29"/>
        <v>296.39999999999998</v>
      </c>
      <c r="AI224" s="85">
        <f t="shared" si="30"/>
        <v>439.9</v>
      </c>
      <c r="AJ224" s="85">
        <f t="shared" si="31"/>
        <v>129.9</v>
      </c>
      <c r="AK224" s="85">
        <f t="shared" si="32"/>
        <v>143.80000000000001</v>
      </c>
      <c r="AL224" s="85">
        <f t="shared" si="33"/>
        <v>142.4</v>
      </c>
      <c r="AM224" s="86"/>
    </row>
    <row r="225" spans="1:39" x14ac:dyDescent="0.3">
      <c r="A225" s="87" t="s">
        <v>33</v>
      </c>
      <c r="B225" s="88">
        <v>2019</v>
      </c>
      <c r="C225" s="88" t="s">
        <v>36</v>
      </c>
      <c r="D225" s="88">
        <v>139.69999999999999</v>
      </c>
      <c r="E225" s="88">
        <v>151.1</v>
      </c>
      <c r="F225" s="88">
        <v>142.9</v>
      </c>
      <c r="G225" s="88">
        <v>141.9</v>
      </c>
      <c r="H225" s="88">
        <v>118.4</v>
      </c>
      <c r="I225" s="88">
        <v>139.4</v>
      </c>
      <c r="J225" s="88">
        <v>141.19999999999999</v>
      </c>
      <c r="K225" s="88">
        <v>120.7</v>
      </c>
      <c r="L225" s="88">
        <v>110.4</v>
      </c>
      <c r="M225" s="88">
        <v>140.69999999999999</v>
      </c>
      <c r="N225" s="88">
        <v>128.5</v>
      </c>
      <c r="O225" s="88">
        <v>153.9</v>
      </c>
      <c r="P225" s="88">
        <v>139.6</v>
      </c>
      <c r="Q225" s="88">
        <v>165.3</v>
      </c>
      <c r="R225" s="88">
        <v>143.5</v>
      </c>
      <c r="S225" s="88">
        <v>131.19999999999999</v>
      </c>
      <c r="T225" s="88">
        <v>141.6</v>
      </c>
      <c r="U225" s="88">
        <v>149</v>
      </c>
      <c r="V225" s="88">
        <v>128.80000000000001</v>
      </c>
      <c r="W225" s="88">
        <v>136.80000000000001</v>
      </c>
      <c r="X225" s="88">
        <v>139.19999999999999</v>
      </c>
      <c r="Y225" s="88">
        <v>119.9</v>
      </c>
      <c r="Z225" s="88">
        <v>133</v>
      </c>
      <c r="AA225" s="88">
        <v>146.69999999999999</v>
      </c>
      <c r="AB225" s="88">
        <v>132.5</v>
      </c>
      <c r="AC225" s="88">
        <v>132.80000000000001</v>
      </c>
      <c r="AD225" s="88">
        <v>139.5</v>
      </c>
      <c r="AE225" s="88">
        <f t="shared" si="26"/>
        <v>1768.4</v>
      </c>
      <c r="AF225" s="88">
        <f t="shared" si="27"/>
        <v>165.3</v>
      </c>
      <c r="AG225" s="88">
        <f t="shared" si="28"/>
        <v>416.29999999999995</v>
      </c>
      <c r="AH225" s="88">
        <f t="shared" si="29"/>
        <v>414.6</v>
      </c>
      <c r="AI225" s="88">
        <f t="shared" si="30"/>
        <v>418.4</v>
      </c>
      <c r="AJ225" s="88">
        <f t="shared" si="31"/>
        <v>119.9</v>
      </c>
      <c r="AK225" s="88">
        <f t="shared" si="32"/>
        <v>133</v>
      </c>
      <c r="AL225" s="88">
        <f t="shared" si="33"/>
        <v>132.80000000000001</v>
      </c>
      <c r="AM225" s="89"/>
    </row>
    <row r="226" spans="1:39" x14ac:dyDescent="0.3">
      <c r="A226" s="84" t="s">
        <v>34</v>
      </c>
      <c r="B226" s="85">
        <v>2019</v>
      </c>
      <c r="C226" s="85" t="s">
        <v>36</v>
      </c>
      <c r="D226" s="85">
        <v>137.80000000000001</v>
      </c>
      <c r="E226" s="85">
        <v>153</v>
      </c>
      <c r="F226" s="85">
        <v>140.30000000000001</v>
      </c>
      <c r="G226" s="85">
        <v>142.30000000000001</v>
      </c>
      <c r="H226" s="85">
        <v>122</v>
      </c>
      <c r="I226" s="85">
        <v>137.6</v>
      </c>
      <c r="J226" s="85">
        <v>132.6</v>
      </c>
      <c r="K226" s="85">
        <v>121.8</v>
      </c>
      <c r="L226" s="85">
        <v>109</v>
      </c>
      <c r="M226" s="85">
        <v>139.5</v>
      </c>
      <c r="N226" s="85">
        <v>133.69999999999999</v>
      </c>
      <c r="O226" s="85">
        <v>155.19999999999999</v>
      </c>
      <c r="P226" s="85">
        <v>138.1</v>
      </c>
      <c r="Q226" s="85">
        <v>163.5</v>
      </c>
      <c r="R226" s="85">
        <v>147.9</v>
      </c>
      <c r="S226" s="85">
        <v>139.9</v>
      </c>
      <c r="T226" s="85">
        <v>146.69999999999999</v>
      </c>
      <c r="U226" s="85">
        <v>149</v>
      </c>
      <c r="V226" s="85">
        <v>139.69999999999999</v>
      </c>
      <c r="W226" s="85">
        <v>143.80000000000001</v>
      </c>
      <c r="X226" s="85">
        <v>146.19999999999999</v>
      </c>
      <c r="Y226" s="85">
        <v>124.6</v>
      </c>
      <c r="Z226" s="85">
        <v>137.69999999999999</v>
      </c>
      <c r="AA226" s="85">
        <v>150.30000000000001</v>
      </c>
      <c r="AB226" s="85">
        <v>133.4</v>
      </c>
      <c r="AC226" s="85">
        <v>137.69999999999999</v>
      </c>
      <c r="AD226" s="85">
        <v>140.4</v>
      </c>
      <c r="AE226" s="85">
        <f t="shared" si="26"/>
        <v>1762.9</v>
      </c>
      <c r="AF226" s="85">
        <f t="shared" si="27"/>
        <v>163.5</v>
      </c>
      <c r="AG226" s="85">
        <f t="shared" si="28"/>
        <v>434.5</v>
      </c>
      <c r="AH226" s="85">
        <f t="shared" si="29"/>
        <v>432.5</v>
      </c>
      <c r="AI226" s="85">
        <f t="shared" si="30"/>
        <v>429.9</v>
      </c>
      <c r="AJ226" s="85">
        <f t="shared" si="31"/>
        <v>124.6</v>
      </c>
      <c r="AK226" s="85">
        <f t="shared" si="32"/>
        <v>137.69999999999999</v>
      </c>
      <c r="AL226" s="85">
        <f t="shared" si="33"/>
        <v>137.69999999999999</v>
      </c>
      <c r="AM226" s="86"/>
    </row>
    <row r="227" spans="1:39" x14ac:dyDescent="0.3">
      <c r="A227" s="87" t="s">
        <v>30</v>
      </c>
      <c r="B227" s="88">
        <v>2019</v>
      </c>
      <c r="C227" s="88" t="s">
        <v>38</v>
      </c>
      <c r="D227" s="88">
        <v>137.4</v>
      </c>
      <c r="E227" s="88">
        <v>159.5</v>
      </c>
      <c r="F227" s="88">
        <v>134.5</v>
      </c>
      <c r="G227" s="88">
        <v>142.6</v>
      </c>
      <c r="H227" s="88">
        <v>124</v>
      </c>
      <c r="I227" s="88">
        <v>143.69999999999999</v>
      </c>
      <c r="J227" s="88">
        <v>133.4</v>
      </c>
      <c r="K227" s="88">
        <v>125.1</v>
      </c>
      <c r="L227" s="88">
        <v>109.3</v>
      </c>
      <c r="M227" s="88">
        <v>139.30000000000001</v>
      </c>
      <c r="N227" s="88">
        <v>137.69999999999999</v>
      </c>
      <c r="O227" s="88">
        <v>156.4</v>
      </c>
      <c r="P227" s="88">
        <v>139.19999999999999</v>
      </c>
      <c r="Q227" s="88">
        <v>163.30000000000001</v>
      </c>
      <c r="R227" s="88">
        <v>151.30000000000001</v>
      </c>
      <c r="S227" s="88">
        <v>146.6</v>
      </c>
      <c r="T227" s="88">
        <v>150.69999999999999</v>
      </c>
      <c r="U227" s="88" t="s">
        <v>32</v>
      </c>
      <c r="V227" s="88">
        <v>146.9</v>
      </c>
      <c r="W227" s="88">
        <v>149.5</v>
      </c>
      <c r="X227" s="88">
        <v>151.30000000000001</v>
      </c>
      <c r="Y227" s="88">
        <v>130.19999999999999</v>
      </c>
      <c r="Z227" s="88">
        <v>145.9</v>
      </c>
      <c r="AA227" s="88">
        <v>156.69999999999999</v>
      </c>
      <c r="AB227" s="88">
        <v>133.9</v>
      </c>
      <c r="AC227" s="88">
        <v>142.9</v>
      </c>
      <c r="AD227" s="88">
        <v>142.4</v>
      </c>
      <c r="AE227" s="88">
        <f t="shared" si="26"/>
        <v>1782.1000000000001</v>
      </c>
      <c r="AF227" s="88">
        <f t="shared" si="27"/>
        <v>163.30000000000001</v>
      </c>
      <c r="AG227" s="88">
        <f t="shared" si="28"/>
        <v>448.59999999999997</v>
      </c>
      <c r="AH227" s="88">
        <f t="shared" si="29"/>
        <v>296.39999999999998</v>
      </c>
      <c r="AI227" s="88">
        <f t="shared" si="30"/>
        <v>441.9</v>
      </c>
      <c r="AJ227" s="88">
        <f t="shared" si="31"/>
        <v>130.19999999999999</v>
      </c>
      <c r="AK227" s="88">
        <f t="shared" si="32"/>
        <v>145.9</v>
      </c>
      <c r="AL227" s="88">
        <f t="shared" si="33"/>
        <v>142.9</v>
      </c>
      <c r="AM227" s="89"/>
    </row>
    <row r="228" spans="1:39" x14ac:dyDescent="0.3">
      <c r="A228" s="84" t="s">
        <v>33</v>
      </c>
      <c r="B228" s="85">
        <v>2019</v>
      </c>
      <c r="C228" s="85" t="s">
        <v>38</v>
      </c>
      <c r="D228" s="85">
        <v>140.4</v>
      </c>
      <c r="E228" s="85">
        <v>156.69999999999999</v>
      </c>
      <c r="F228" s="85">
        <v>138.30000000000001</v>
      </c>
      <c r="G228" s="85">
        <v>142.4</v>
      </c>
      <c r="H228" s="85">
        <v>118.6</v>
      </c>
      <c r="I228" s="85">
        <v>149.69999999999999</v>
      </c>
      <c r="J228" s="85">
        <v>161.6</v>
      </c>
      <c r="K228" s="85">
        <v>124.4</v>
      </c>
      <c r="L228" s="85">
        <v>111.2</v>
      </c>
      <c r="M228" s="85">
        <v>141</v>
      </c>
      <c r="N228" s="85">
        <v>128.9</v>
      </c>
      <c r="O228" s="85">
        <v>154.5</v>
      </c>
      <c r="P228" s="85">
        <v>143.80000000000001</v>
      </c>
      <c r="Q228" s="85">
        <v>166.2</v>
      </c>
      <c r="R228" s="85">
        <v>144</v>
      </c>
      <c r="S228" s="85">
        <v>131.69999999999999</v>
      </c>
      <c r="T228" s="85">
        <v>142.19999999999999</v>
      </c>
      <c r="U228" s="85">
        <v>150.1</v>
      </c>
      <c r="V228" s="85">
        <v>129.4</v>
      </c>
      <c r="W228" s="85">
        <v>137.19999999999999</v>
      </c>
      <c r="X228" s="85">
        <v>139.80000000000001</v>
      </c>
      <c r="Y228" s="85">
        <v>120.1</v>
      </c>
      <c r="Z228" s="85">
        <v>134</v>
      </c>
      <c r="AA228" s="85">
        <v>148</v>
      </c>
      <c r="AB228" s="85">
        <v>132.6</v>
      </c>
      <c r="AC228" s="85">
        <v>133.30000000000001</v>
      </c>
      <c r="AD228" s="85">
        <v>141.5</v>
      </c>
      <c r="AE228" s="85">
        <f t="shared" si="26"/>
        <v>1811.5000000000002</v>
      </c>
      <c r="AF228" s="85">
        <f t="shared" si="27"/>
        <v>166.2</v>
      </c>
      <c r="AG228" s="85">
        <f t="shared" si="28"/>
        <v>417.9</v>
      </c>
      <c r="AH228" s="85">
        <f t="shared" si="29"/>
        <v>416.7</v>
      </c>
      <c r="AI228" s="85">
        <f t="shared" si="30"/>
        <v>420.4</v>
      </c>
      <c r="AJ228" s="85">
        <f t="shared" si="31"/>
        <v>120.1</v>
      </c>
      <c r="AK228" s="85">
        <f t="shared" si="32"/>
        <v>134</v>
      </c>
      <c r="AL228" s="85">
        <f t="shared" si="33"/>
        <v>133.30000000000001</v>
      </c>
      <c r="AM228" s="86"/>
    </row>
    <row r="229" spans="1:39" x14ac:dyDescent="0.3">
      <c r="A229" s="87" t="s">
        <v>34</v>
      </c>
      <c r="B229" s="88">
        <v>2019</v>
      </c>
      <c r="C229" s="88" t="s">
        <v>38</v>
      </c>
      <c r="D229" s="88">
        <v>138.30000000000001</v>
      </c>
      <c r="E229" s="88">
        <v>158.5</v>
      </c>
      <c r="F229" s="88">
        <v>136</v>
      </c>
      <c r="G229" s="88">
        <v>142.5</v>
      </c>
      <c r="H229" s="88">
        <v>122</v>
      </c>
      <c r="I229" s="88">
        <v>146.5</v>
      </c>
      <c r="J229" s="88">
        <v>143</v>
      </c>
      <c r="K229" s="88">
        <v>124.9</v>
      </c>
      <c r="L229" s="88">
        <v>109.9</v>
      </c>
      <c r="M229" s="88">
        <v>139.9</v>
      </c>
      <c r="N229" s="88">
        <v>134</v>
      </c>
      <c r="O229" s="88">
        <v>155.5</v>
      </c>
      <c r="P229" s="88">
        <v>140.9</v>
      </c>
      <c r="Q229" s="88">
        <v>164.1</v>
      </c>
      <c r="R229" s="88">
        <v>148.4</v>
      </c>
      <c r="S229" s="88">
        <v>140.4</v>
      </c>
      <c r="T229" s="88">
        <v>147.30000000000001</v>
      </c>
      <c r="U229" s="88">
        <v>150.1</v>
      </c>
      <c r="V229" s="88">
        <v>140.30000000000001</v>
      </c>
      <c r="W229" s="88">
        <v>143.69999999999999</v>
      </c>
      <c r="X229" s="88">
        <v>146.9</v>
      </c>
      <c r="Y229" s="88">
        <v>124.9</v>
      </c>
      <c r="Z229" s="88">
        <v>139.19999999999999</v>
      </c>
      <c r="AA229" s="88">
        <v>151.6</v>
      </c>
      <c r="AB229" s="88">
        <v>133.4</v>
      </c>
      <c r="AC229" s="88">
        <v>138.19999999999999</v>
      </c>
      <c r="AD229" s="88">
        <v>142</v>
      </c>
      <c r="AE229" s="88">
        <f t="shared" si="26"/>
        <v>1791.9000000000003</v>
      </c>
      <c r="AF229" s="88">
        <f t="shared" si="27"/>
        <v>164.1</v>
      </c>
      <c r="AG229" s="88">
        <f t="shared" si="28"/>
        <v>436.1</v>
      </c>
      <c r="AH229" s="88">
        <f t="shared" si="29"/>
        <v>434.09999999999997</v>
      </c>
      <c r="AI229" s="88">
        <f t="shared" si="30"/>
        <v>431.9</v>
      </c>
      <c r="AJ229" s="88">
        <f t="shared" si="31"/>
        <v>124.9</v>
      </c>
      <c r="AK229" s="88">
        <f t="shared" si="32"/>
        <v>139.19999999999999</v>
      </c>
      <c r="AL229" s="88">
        <f t="shared" si="33"/>
        <v>138.19999999999999</v>
      </c>
      <c r="AM229" s="89"/>
    </row>
    <row r="230" spans="1:39" x14ac:dyDescent="0.3">
      <c r="A230" s="84" t="s">
        <v>30</v>
      </c>
      <c r="B230" s="85">
        <v>2019</v>
      </c>
      <c r="C230" s="85" t="s">
        <v>39</v>
      </c>
      <c r="D230" s="85">
        <v>137.80000000000001</v>
      </c>
      <c r="E230" s="85">
        <v>163.5</v>
      </c>
      <c r="F230" s="85">
        <v>136.19999999999999</v>
      </c>
      <c r="G230" s="85">
        <v>143.19999999999999</v>
      </c>
      <c r="H230" s="85">
        <v>124.3</v>
      </c>
      <c r="I230" s="85">
        <v>143.30000000000001</v>
      </c>
      <c r="J230" s="85">
        <v>140.6</v>
      </c>
      <c r="K230" s="85">
        <v>128.69999999999999</v>
      </c>
      <c r="L230" s="85">
        <v>110.6</v>
      </c>
      <c r="M230" s="85">
        <v>140.4</v>
      </c>
      <c r="N230" s="85">
        <v>138</v>
      </c>
      <c r="O230" s="85">
        <v>156.6</v>
      </c>
      <c r="P230" s="85">
        <v>141</v>
      </c>
      <c r="Q230" s="85">
        <v>164.2</v>
      </c>
      <c r="R230" s="85">
        <v>151.4</v>
      </c>
      <c r="S230" s="85">
        <v>146.5</v>
      </c>
      <c r="T230" s="85">
        <v>150.69999999999999</v>
      </c>
      <c r="U230" s="85" t="s">
        <v>32</v>
      </c>
      <c r="V230" s="85">
        <v>147.80000000000001</v>
      </c>
      <c r="W230" s="85">
        <v>149.6</v>
      </c>
      <c r="X230" s="85">
        <v>151.69999999999999</v>
      </c>
      <c r="Y230" s="85">
        <v>130.19999999999999</v>
      </c>
      <c r="Z230" s="85">
        <v>146.4</v>
      </c>
      <c r="AA230" s="85">
        <v>157.69999999999999</v>
      </c>
      <c r="AB230" s="85">
        <v>134.80000000000001</v>
      </c>
      <c r="AC230" s="85">
        <v>143.30000000000001</v>
      </c>
      <c r="AD230" s="85">
        <v>143.6</v>
      </c>
      <c r="AE230" s="85">
        <f t="shared" si="26"/>
        <v>1804.1999999999998</v>
      </c>
      <c r="AF230" s="85">
        <f t="shared" si="27"/>
        <v>164.2</v>
      </c>
      <c r="AG230" s="85">
        <f t="shared" si="28"/>
        <v>448.59999999999997</v>
      </c>
      <c r="AH230" s="85">
        <f t="shared" si="29"/>
        <v>297.39999999999998</v>
      </c>
      <c r="AI230" s="85">
        <f t="shared" si="30"/>
        <v>444.2</v>
      </c>
      <c r="AJ230" s="85">
        <f t="shared" si="31"/>
        <v>130.19999999999999</v>
      </c>
      <c r="AK230" s="85">
        <f t="shared" si="32"/>
        <v>146.4</v>
      </c>
      <c r="AL230" s="85">
        <f t="shared" si="33"/>
        <v>143.30000000000001</v>
      </c>
      <c r="AM230" s="86"/>
    </row>
    <row r="231" spans="1:39" x14ac:dyDescent="0.3">
      <c r="A231" s="87" t="s">
        <v>33</v>
      </c>
      <c r="B231" s="88">
        <v>2019</v>
      </c>
      <c r="C231" s="88" t="s">
        <v>39</v>
      </c>
      <c r="D231" s="88">
        <v>140.69999999999999</v>
      </c>
      <c r="E231" s="88">
        <v>159.6</v>
      </c>
      <c r="F231" s="88">
        <v>140.4</v>
      </c>
      <c r="G231" s="88">
        <v>143.4</v>
      </c>
      <c r="H231" s="88">
        <v>118.6</v>
      </c>
      <c r="I231" s="88">
        <v>150.9</v>
      </c>
      <c r="J231" s="88">
        <v>169.8</v>
      </c>
      <c r="K231" s="88">
        <v>127.4</v>
      </c>
      <c r="L231" s="88">
        <v>111.8</v>
      </c>
      <c r="M231" s="88">
        <v>141</v>
      </c>
      <c r="N231" s="88">
        <v>129</v>
      </c>
      <c r="O231" s="88">
        <v>155.1</v>
      </c>
      <c r="P231" s="88">
        <v>145.6</v>
      </c>
      <c r="Q231" s="88">
        <v>166.7</v>
      </c>
      <c r="R231" s="88">
        <v>144.30000000000001</v>
      </c>
      <c r="S231" s="88">
        <v>131.69999999999999</v>
      </c>
      <c r="T231" s="88">
        <v>142.4</v>
      </c>
      <c r="U231" s="88">
        <v>149.4</v>
      </c>
      <c r="V231" s="88">
        <v>130.5</v>
      </c>
      <c r="W231" s="88">
        <v>137.4</v>
      </c>
      <c r="X231" s="88">
        <v>140.30000000000001</v>
      </c>
      <c r="Y231" s="88">
        <v>119.6</v>
      </c>
      <c r="Z231" s="88">
        <v>134.30000000000001</v>
      </c>
      <c r="AA231" s="88">
        <v>148.9</v>
      </c>
      <c r="AB231" s="88">
        <v>133.69999999999999</v>
      </c>
      <c r="AC231" s="88">
        <v>133.6</v>
      </c>
      <c r="AD231" s="88">
        <v>142.1</v>
      </c>
      <c r="AE231" s="88">
        <f t="shared" si="26"/>
        <v>1833.2999999999997</v>
      </c>
      <c r="AF231" s="88">
        <f t="shared" si="27"/>
        <v>166.7</v>
      </c>
      <c r="AG231" s="88">
        <f t="shared" si="28"/>
        <v>418.4</v>
      </c>
      <c r="AH231" s="88">
        <f t="shared" si="29"/>
        <v>417.29999999999995</v>
      </c>
      <c r="AI231" s="88">
        <f t="shared" si="30"/>
        <v>422.90000000000003</v>
      </c>
      <c r="AJ231" s="88">
        <f t="shared" si="31"/>
        <v>119.6</v>
      </c>
      <c r="AK231" s="88">
        <f t="shared" si="32"/>
        <v>134.30000000000001</v>
      </c>
      <c r="AL231" s="88">
        <f t="shared" si="33"/>
        <v>133.6</v>
      </c>
      <c r="AM231" s="89"/>
    </row>
    <row r="232" spans="1:39" x14ac:dyDescent="0.3">
      <c r="A232" s="84" t="s">
        <v>34</v>
      </c>
      <c r="B232" s="85">
        <v>2019</v>
      </c>
      <c r="C232" s="85" t="s">
        <v>39</v>
      </c>
      <c r="D232" s="85">
        <v>138.69999999999999</v>
      </c>
      <c r="E232" s="85">
        <v>162.1</v>
      </c>
      <c r="F232" s="85">
        <v>137.80000000000001</v>
      </c>
      <c r="G232" s="85">
        <v>143.30000000000001</v>
      </c>
      <c r="H232" s="85">
        <v>122.2</v>
      </c>
      <c r="I232" s="85">
        <v>146.80000000000001</v>
      </c>
      <c r="J232" s="85">
        <v>150.5</v>
      </c>
      <c r="K232" s="85">
        <v>128.30000000000001</v>
      </c>
      <c r="L232" s="85">
        <v>111</v>
      </c>
      <c r="M232" s="85">
        <v>140.6</v>
      </c>
      <c r="N232" s="85">
        <v>134.19999999999999</v>
      </c>
      <c r="O232" s="85">
        <v>155.9</v>
      </c>
      <c r="P232" s="85">
        <v>142.69999999999999</v>
      </c>
      <c r="Q232" s="85">
        <v>164.9</v>
      </c>
      <c r="R232" s="85">
        <v>148.6</v>
      </c>
      <c r="S232" s="85">
        <v>140.4</v>
      </c>
      <c r="T232" s="85">
        <v>147.4</v>
      </c>
      <c r="U232" s="85">
        <v>149.4</v>
      </c>
      <c r="V232" s="85">
        <v>141.19999999999999</v>
      </c>
      <c r="W232" s="85">
        <v>143.80000000000001</v>
      </c>
      <c r="X232" s="85">
        <v>147.4</v>
      </c>
      <c r="Y232" s="85">
        <v>124.6</v>
      </c>
      <c r="Z232" s="85">
        <v>139.6</v>
      </c>
      <c r="AA232" s="85">
        <v>152.5</v>
      </c>
      <c r="AB232" s="85">
        <v>134.30000000000001</v>
      </c>
      <c r="AC232" s="85">
        <v>138.6</v>
      </c>
      <c r="AD232" s="85">
        <v>142.9</v>
      </c>
      <c r="AE232" s="85">
        <f t="shared" si="26"/>
        <v>1814.1000000000001</v>
      </c>
      <c r="AF232" s="85">
        <f t="shared" si="27"/>
        <v>164.9</v>
      </c>
      <c r="AG232" s="85">
        <f t="shared" si="28"/>
        <v>436.4</v>
      </c>
      <c r="AH232" s="85">
        <f t="shared" si="29"/>
        <v>434.40000000000003</v>
      </c>
      <c r="AI232" s="85">
        <f t="shared" si="30"/>
        <v>434.2</v>
      </c>
      <c r="AJ232" s="85">
        <f t="shared" si="31"/>
        <v>124.6</v>
      </c>
      <c r="AK232" s="85">
        <f t="shared" si="32"/>
        <v>139.6</v>
      </c>
      <c r="AL232" s="85">
        <f t="shared" si="33"/>
        <v>138.6</v>
      </c>
      <c r="AM232" s="86"/>
    </row>
    <row r="233" spans="1:39" x14ac:dyDescent="0.3">
      <c r="A233" s="87" t="s">
        <v>30</v>
      </c>
      <c r="B233" s="88">
        <v>2019</v>
      </c>
      <c r="C233" s="88" t="s">
        <v>40</v>
      </c>
      <c r="D233" s="88">
        <v>138.4</v>
      </c>
      <c r="E233" s="88">
        <v>164</v>
      </c>
      <c r="F233" s="88">
        <v>138.4</v>
      </c>
      <c r="G233" s="88">
        <v>143.9</v>
      </c>
      <c r="H233" s="88">
        <v>124.4</v>
      </c>
      <c r="I233" s="88">
        <v>146.4</v>
      </c>
      <c r="J233" s="88">
        <v>150.1</v>
      </c>
      <c r="K233" s="88">
        <v>130.6</v>
      </c>
      <c r="L233" s="88">
        <v>110.8</v>
      </c>
      <c r="M233" s="88">
        <v>141.69999999999999</v>
      </c>
      <c r="N233" s="88">
        <v>138.5</v>
      </c>
      <c r="O233" s="88">
        <v>156.69999999999999</v>
      </c>
      <c r="P233" s="88">
        <v>143</v>
      </c>
      <c r="Q233" s="88">
        <v>164.5</v>
      </c>
      <c r="R233" s="88">
        <v>151.6</v>
      </c>
      <c r="S233" s="88">
        <v>146.6</v>
      </c>
      <c r="T233" s="88">
        <v>150.9</v>
      </c>
      <c r="U233" s="88" t="s">
        <v>32</v>
      </c>
      <c r="V233" s="88">
        <v>146.80000000000001</v>
      </c>
      <c r="W233" s="88">
        <v>150</v>
      </c>
      <c r="X233" s="88">
        <v>152.19999999999999</v>
      </c>
      <c r="Y233" s="88">
        <v>131.19999999999999</v>
      </c>
      <c r="Z233" s="88">
        <v>147.5</v>
      </c>
      <c r="AA233" s="88">
        <v>159.1</v>
      </c>
      <c r="AB233" s="88">
        <v>136.1</v>
      </c>
      <c r="AC233" s="88">
        <v>144.19999999999999</v>
      </c>
      <c r="AD233" s="88">
        <v>144.9</v>
      </c>
      <c r="AE233" s="88">
        <f t="shared" si="26"/>
        <v>1826.8999999999999</v>
      </c>
      <c r="AF233" s="88">
        <f t="shared" si="27"/>
        <v>164.5</v>
      </c>
      <c r="AG233" s="88">
        <f t="shared" si="28"/>
        <v>449.1</v>
      </c>
      <c r="AH233" s="88">
        <f t="shared" si="29"/>
        <v>296.8</v>
      </c>
      <c r="AI233" s="88">
        <f t="shared" si="30"/>
        <v>447.4</v>
      </c>
      <c r="AJ233" s="88">
        <f t="shared" si="31"/>
        <v>131.19999999999999</v>
      </c>
      <c r="AK233" s="88">
        <f t="shared" si="32"/>
        <v>147.5</v>
      </c>
      <c r="AL233" s="88">
        <f t="shared" si="33"/>
        <v>144.19999999999999</v>
      </c>
      <c r="AM233" s="89"/>
    </row>
    <row r="234" spans="1:39" x14ac:dyDescent="0.3">
      <c r="A234" s="84" t="s">
        <v>33</v>
      </c>
      <c r="B234" s="85">
        <v>2019</v>
      </c>
      <c r="C234" s="85" t="s">
        <v>40</v>
      </c>
      <c r="D234" s="85">
        <v>141.4</v>
      </c>
      <c r="E234" s="85">
        <v>160.19999999999999</v>
      </c>
      <c r="F234" s="85">
        <v>142.5</v>
      </c>
      <c r="G234" s="85">
        <v>144.1</v>
      </c>
      <c r="H234" s="85">
        <v>119.3</v>
      </c>
      <c r="I234" s="85">
        <v>154.69999999999999</v>
      </c>
      <c r="J234" s="85">
        <v>180.1</v>
      </c>
      <c r="K234" s="85">
        <v>128.9</v>
      </c>
      <c r="L234" s="85">
        <v>111.8</v>
      </c>
      <c r="M234" s="85">
        <v>141.6</v>
      </c>
      <c r="N234" s="85">
        <v>129.5</v>
      </c>
      <c r="O234" s="85">
        <v>155.6</v>
      </c>
      <c r="P234" s="85">
        <v>147.69999999999999</v>
      </c>
      <c r="Q234" s="85">
        <v>167.2</v>
      </c>
      <c r="R234" s="85">
        <v>144.69999999999999</v>
      </c>
      <c r="S234" s="85">
        <v>131.9</v>
      </c>
      <c r="T234" s="85">
        <v>142.69999999999999</v>
      </c>
      <c r="U234" s="85">
        <v>150.6</v>
      </c>
      <c r="V234" s="85">
        <v>127</v>
      </c>
      <c r="W234" s="85">
        <v>137.69999999999999</v>
      </c>
      <c r="X234" s="85">
        <v>140.80000000000001</v>
      </c>
      <c r="Y234" s="85">
        <v>120.6</v>
      </c>
      <c r="Z234" s="85">
        <v>135</v>
      </c>
      <c r="AA234" s="85">
        <v>150.4</v>
      </c>
      <c r="AB234" s="85">
        <v>135.1</v>
      </c>
      <c r="AC234" s="85">
        <v>134.5</v>
      </c>
      <c r="AD234" s="85">
        <v>143.30000000000001</v>
      </c>
      <c r="AE234" s="85">
        <f t="shared" si="26"/>
        <v>1857.3999999999999</v>
      </c>
      <c r="AF234" s="85">
        <f t="shared" si="27"/>
        <v>167.2</v>
      </c>
      <c r="AG234" s="85">
        <f t="shared" si="28"/>
        <v>419.3</v>
      </c>
      <c r="AH234" s="85">
        <f t="shared" si="29"/>
        <v>415.3</v>
      </c>
      <c r="AI234" s="85">
        <f t="shared" si="30"/>
        <v>426.30000000000007</v>
      </c>
      <c r="AJ234" s="85">
        <f t="shared" si="31"/>
        <v>120.6</v>
      </c>
      <c r="AK234" s="85">
        <f t="shared" si="32"/>
        <v>135</v>
      </c>
      <c r="AL234" s="85">
        <f t="shared" si="33"/>
        <v>134.5</v>
      </c>
      <c r="AM234" s="86"/>
    </row>
    <row r="235" spans="1:39" x14ac:dyDescent="0.3">
      <c r="A235" s="87" t="s">
        <v>34</v>
      </c>
      <c r="B235" s="88">
        <v>2019</v>
      </c>
      <c r="C235" s="88" t="s">
        <v>40</v>
      </c>
      <c r="D235" s="88">
        <v>139.30000000000001</v>
      </c>
      <c r="E235" s="88">
        <v>162.69999999999999</v>
      </c>
      <c r="F235" s="88">
        <v>140</v>
      </c>
      <c r="G235" s="88">
        <v>144</v>
      </c>
      <c r="H235" s="88">
        <v>122.5</v>
      </c>
      <c r="I235" s="88">
        <v>150.30000000000001</v>
      </c>
      <c r="J235" s="88">
        <v>160.30000000000001</v>
      </c>
      <c r="K235" s="88">
        <v>130</v>
      </c>
      <c r="L235" s="88">
        <v>111.1</v>
      </c>
      <c r="M235" s="88">
        <v>141.69999999999999</v>
      </c>
      <c r="N235" s="88">
        <v>134.69999999999999</v>
      </c>
      <c r="O235" s="88">
        <v>156.19999999999999</v>
      </c>
      <c r="P235" s="88">
        <v>144.69999999999999</v>
      </c>
      <c r="Q235" s="88">
        <v>165.2</v>
      </c>
      <c r="R235" s="88">
        <v>148.9</v>
      </c>
      <c r="S235" s="88">
        <v>140.5</v>
      </c>
      <c r="T235" s="88">
        <v>147.6</v>
      </c>
      <c r="U235" s="88">
        <v>150.6</v>
      </c>
      <c r="V235" s="88">
        <v>139.30000000000001</v>
      </c>
      <c r="W235" s="88">
        <v>144.19999999999999</v>
      </c>
      <c r="X235" s="88">
        <v>147.9</v>
      </c>
      <c r="Y235" s="88">
        <v>125.6</v>
      </c>
      <c r="Z235" s="88">
        <v>140.5</v>
      </c>
      <c r="AA235" s="88">
        <v>154</v>
      </c>
      <c r="AB235" s="88">
        <v>135.69999999999999</v>
      </c>
      <c r="AC235" s="88">
        <v>139.5</v>
      </c>
      <c r="AD235" s="88">
        <v>144.19999999999999</v>
      </c>
      <c r="AE235" s="88">
        <f t="shared" si="26"/>
        <v>1837.5</v>
      </c>
      <c r="AF235" s="88">
        <f t="shared" si="27"/>
        <v>165.2</v>
      </c>
      <c r="AG235" s="88">
        <f t="shared" si="28"/>
        <v>437</v>
      </c>
      <c r="AH235" s="88">
        <f t="shared" si="29"/>
        <v>434.09999999999997</v>
      </c>
      <c r="AI235" s="88">
        <f t="shared" si="30"/>
        <v>437.59999999999997</v>
      </c>
      <c r="AJ235" s="88">
        <f t="shared" si="31"/>
        <v>125.6</v>
      </c>
      <c r="AK235" s="88">
        <f t="shared" si="32"/>
        <v>140.5</v>
      </c>
      <c r="AL235" s="88">
        <f t="shared" si="33"/>
        <v>139.5</v>
      </c>
      <c r="AM235" s="89"/>
    </row>
    <row r="236" spans="1:39" x14ac:dyDescent="0.3">
      <c r="A236" s="84" t="s">
        <v>30</v>
      </c>
      <c r="B236" s="85">
        <v>2019</v>
      </c>
      <c r="C236" s="85" t="s">
        <v>41</v>
      </c>
      <c r="D236" s="85">
        <v>139.19999999999999</v>
      </c>
      <c r="E236" s="85">
        <v>161.9</v>
      </c>
      <c r="F236" s="85">
        <v>137.1</v>
      </c>
      <c r="G236" s="85">
        <v>144.6</v>
      </c>
      <c r="H236" s="85">
        <v>124.7</v>
      </c>
      <c r="I236" s="85">
        <v>145.5</v>
      </c>
      <c r="J236" s="85">
        <v>156.19999999999999</v>
      </c>
      <c r="K236" s="85">
        <v>131.5</v>
      </c>
      <c r="L236" s="85">
        <v>111.7</v>
      </c>
      <c r="M236" s="85">
        <v>142.69999999999999</v>
      </c>
      <c r="N236" s="85">
        <v>138.5</v>
      </c>
      <c r="O236" s="85">
        <v>156.9</v>
      </c>
      <c r="P236" s="85">
        <v>144</v>
      </c>
      <c r="Q236" s="85">
        <v>165.1</v>
      </c>
      <c r="R236" s="85">
        <v>151.80000000000001</v>
      </c>
      <c r="S236" s="85">
        <v>146.6</v>
      </c>
      <c r="T236" s="85">
        <v>151.1</v>
      </c>
      <c r="U236" s="85" t="s">
        <v>32</v>
      </c>
      <c r="V236" s="85">
        <v>146.4</v>
      </c>
      <c r="W236" s="85">
        <v>150.19999999999999</v>
      </c>
      <c r="X236" s="85">
        <v>152.69999999999999</v>
      </c>
      <c r="Y236" s="85">
        <v>131.4</v>
      </c>
      <c r="Z236" s="85">
        <v>148</v>
      </c>
      <c r="AA236" s="85">
        <v>159.69999999999999</v>
      </c>
      <c r="AB236" s="85">
        <v>138.80000000000001</v>
      </c>
      <c r="AC236" s="85">
        <v>144.9</v>
      </c>
      <c r="AD236" s="85">
        <v>145.69999999999999</v>
      </c>
      <c r="AE236" s="85">
        <f t="shared" si="26"/>
        <v>1834.5000000000002</v>
      </c>
      <c r="AF236" s="85">
        <f t="shared" si="27"/>
        <v>165.1</v>
      </c>
      <c r="AG236" s="85">
        <f t="shared" si="28"/>
        <v>449.5</v>
      </c>
      <c r="AH236" s="85">
        <f t="shared" si="29"/>
        <v>296.60000000000002</v>
      </c>
      <c r="AI236" s="85">
        <f t="shared" si="30"/>
        <v>451.2</v>
      </c>
      <c r="AJ236" s="85">
        <f t="shared" si="31"/>
        <v>131.4</v>
      </c>
      <c r="AK236" s="85">
        <f t="shared" si="32"/>
        <v>148</v>
      </c>
      <c r="AL236" s="85">
        <f t="shared" si="33"/>
        <v>144.9</v>
      </c>
      <c r="AM236" s="86"/>
    </row>
    <row r="237" spans="1:39" x14ac:dyDescent="0.3">
      <c r="A237" s="87" t="s">
        <v>33</v>
      </c>
      <c r="B237" s="88">
        <v>2019</v>
      </c>
      <c r="C237" s="88" t="s">
        <v>41</v>
      </c>
      <c r="D237" s="88">
        <v>142.1</v>
      </c>
      <c r="E237" s="88">
        <v>158.30000000000001</v>
      </c>
      <c r="F237" s="88">
        <v>140.80000000000001</v>
      </c>
      <c r="G237" s="88">
        <v>144.9</v>
      </c>
      <c r="H237" s="88">
        <v>119.9</v>
      </c>
      <c r="I237" s="88">
        <v>153.9</v>
      </c>
      <c r="J237" s="88">
        <v>189.1</v>
      </c>
      <c r="K237" s="88">
        <v>129.80000000000001</v>
      </c>
      <c r="L237" s="88">
        <v>112.7</v>
      </c>
      <c r="M237" s="88">
        <v>142.5</v>
      </c>
      <c r="N237" s="88">
        <v>129.80000000000001</v>
      </c>
      <c r="O237" s="88">
        <v>156.19999999999999</v>
      </c>
      <c r="P237" s="88">
        <v>149.1</v>
      </c>
      <c r="Q237" s="88">
        <v>167.9</v>
      </c>
      <c r="R237" s="88">
        <v>145</v>
      </c>
      <c r="S237" s="88">
        <v>132.19999999999999</v>
      </c>
      <c r="T237" s="88">
        <v>143</v>
      </c>
      <c r="U237" s="88">
        <v>151.6</v>
      </c>
      <c r="V237" s="88">
        <v>125.5</v>
      </c>
      <c r="W237" s="88">
        <v>138.1</v>
      </c>
      <c r="X237" s="88">
        <v>141.5</v>
      </c>
      <c r="Y237" s="88">
        <v>120.8</v>
      </c>
      <c r="Z237" s="88">
        <v>135.4</v>
      </c>
      <c r="AA237" s="88">
        <v>151.5</v>
      </c>
      <c r="AB237" s="88">
        <v>137.80000000000001</v>
      </c>
      <c r="AC237" s="88">
        <v>135.30000000000001</v>
      </c>
      <c r="AD237" s="88">
        <v>144.19999999999999</v>
      </c>
      <c r="AE237" s="88">
        <f t="shared" si="26"/>
        <v>1869.1</v>
      </c>
      <c r="AF237" s="88">
        <f t="shared" si="27"/>
        <v>167.9</v>
      </c>
      <c r="AG237" s="88">
        <f t="shared" si="28"/>
        <v>420.2</v>
      </c>
      <c r="AH237" s="88">
        <f t="shared" si="29"/>
        <v>415.20000000000005</v>
      </c>
      <c r="AI237" s="88">
        <f t="shared" si="30"/>
        <v>430.8</v>
      </c>
      <c r="AJ237" s="88">
        <f t="shared" si="31"/>
        <v>120.8</v>
      </c>
      <c r="AK237" s="88">
        <f t="shared" si="32"/>
        <v>135.4</v>
      </c>
      <c r="AL237" s="88">
        <f t="shared" si="33"/>
        <v>135.30000000000001</v>
      </c>
      <c r="AM237" s="89"/>
    </row>
    <row r="238" spans="1:39" x14ac:dyDescent="0.3">
      <c r="A238" s="84" t="s">
        <v>34</v>
      </c>
      <c r="B238" s="85">
        <v>2019</v>
      </c>
      <c r="C238" s="85" t="s">
        <v>41</v>
      </c>
      <c r="D238" s="85">
        <v>140.1</v>
      </c>
      <c r="E238" s="85">
        <v>160.6</v>
      </c>
      <c r="F238" s="85">
        <v>138.5</v>
      </c>
      <c r="G238" s="85">
        <v>144.69999999999999</v>
      </c>
      <c r="H238" s="85">
        <v>122.9</v>
      </c>
      <c r="I238" s="85">
        <v>149.4</v>
      </c>
      <c r="J238" s="85">
        <v>167.4</v>
      </c>
      <c r="K238" s="85">
        <v>130.9</v>
      </c>
      <c r="L238" s="85">
        <v>112</v>
      </c>
      <c r="M238" s="85">
        <v>142.6</v>
      </c>
      <c r="N238" s="85">
        <v>134.9</v>
      </c>
      <c r="O238" s="85">
        <v>156.6</v>
      </c>
      <c r="P238" s="85">
        <v>145.9</v>
      </c>
      <c r="Q238" s="85">
        <v>165.8</v>
      </c>
      <c r="R238" s="85">
        <v>149.1</v>
      </c>
      <c r="S238" s="85">
        <v>140.6</v>
      </c>
      <c r="T238" s="85">
        <v>147.9</v>
      </c>
      <c r="U238" s="85">
        <v>151.6</v>
      </c>
      <c r="V238" s="85">
        <v>138.5</v>
      </c>
      <c r="W238" s="85">
        <v>144.5</v>
      </c>
      <c r="X238" s="85">
        <v>148.5</v>
      </c>
      <c r="Y238" s="85">
        <v>125.8</v>
      </c>
      <c r="Z238" s="85">
        <v>140.9</v>
      </c>
      <c r="AA238" s="85">
        <v>154.9</v>
      </c>
      <c r="AB238" s="85">
        <v>138.4</v>
      </c>
      <c r="AC238" s="85">
        <v>140.19999999999999</v>
      </c>
      <c r="AD238" s="85">
        <v>145</v>
      </c>
      <c r="AE238" s="85">
        <f t="shared" si="26"/>
        <v>1846.5</v>
      </c>
      <c r="AF238" s="85">
        <f t="shared" si="27"/>
        <v>165.8</v>
      </c>
      <c r="AG238" s="85">
        <f t="shared" si="28"/>
        <v>437.6</v>
      </c>
      <c r="AH238" s="85">
        <f t="shared" si="29"/>
        <v>434.6</v>
      </c>
      <c r="AI238" s="85">
        <f t="shared" si="30"/>
        <v>441.79999999999995</v>
      </c>
      <c r="AJ238" s="85">
        <f t="shared" si="31"/>
        <v>125.8</v>
      </c>
      <c r="AK238" s="85">
        <f t="shared" si="32"/>
        <v>140.9</v>
      </c>
      <c r="AL238" s="85">
        <f t="shared" si="33"/>
        <v>140.19999999999999</v>
      </c>
      <c r="AM238" s="86"/>
    </row>
    <row r="239" spans="1:39" x14ac:dyDescent="0.3">
      <c r="A239" s="87" t="s">
        <v>30</v>
      </c>
      <c r="B239" s="88">
        <v>2019</v>
      </c>
      <c r="C239" s="88" t="s">
        <v>42</v>
      </c>
      <c r="D239" s="88">
        <v>140.1</v>
      </c>
      <c r="E239" s="88">
        <v>161.9</v>
      </c>
      <c r="F239" s="88">
        <v>138.30000000000001</v>
      </c>
      <c r="G239" s="88">
        <v>145.69999999999999</v>
      </c>
      <c r="H239" s="88">
        <v>125.1</v>
      </c>
      <c r="I239" s="88">
        <v>143.80000000000001</v>
      </c>
      <c r="J239" s="88">
        <v>163.4</v>
      </c>
      <c r="K239" s="88">
        <v>132.19999999999999</v>
      </c>
      <c r="L239" s="88">
        <v>112.8</v>
      </c>
      <c r="M239" s="88">
        <v>144.19999999999999</v>
      </c>
      <c r="N239" s="88">
        <v>138.5</v>
      </c>
      <c r="O239" s="88">
        <v>157.19999999999999</v>
      </c>
      <c r="P239" s="88">
        <v>145.5</v>
      </c>
      <c r="Q239" s="88">
        <v>165.7</v>
      </c>
      <c r="R239" s="88">
        <v>151.69999999999999</v>
      </c>
      <c r="S239" s="88">
        <v>146.6</v>
      </c>
      <c r="T239" s="88">
        <v>151</v>
      </c>
      <c r="U239" s="88" t="s">
        <v>32</v>
      </c>
      <c r="V239" s="88">
        <v>146.9</v>
      </c>
      <c r="W239" s="88">
        <v>150.30000000000001</v>
      </c>
      <c r="X239" s="88">
        <v>153.4</v>
      </c>
      <c r="Y239" s="88">
        <v>131.6</v>
      </c>
      <c r="Z239" s="88">
        <v>148.30000000000001</v>
      </c>
      <c r="AA239" s="88">
        <v>160.19999999999999</v>
      </c>
      <c r="AB239" s="88">
        <v>140.19999999999999</v>
      </c>
      <c r="AC239" s="88">
        <v>145.4</v>
      </c>
      <c r="AD239" s="88">
        <v>146.69999999999999</v>
      </c>
      <c r="AE239" s="88">
        <f t="shared" si="26"/>
        <v>1848.7</v>
      </c>
      <c r="AF239" s="88">
        <f t="shared" si="27"/>
        <v>165.7</v>
      </c>
      <c r="AG239" s="88">
        <f t="shared" si="28"/>
        <v>449.29999999999995</v>
      </c>
      <c r="AH239" s="88">
        <f t="shared" si="29"/>
        <v>297.20000000000005</v>
      </c>
      <c r="AI239" s="88">
        <f t="shared" si="30"/>
        <v>453.8</v>
      </c>
      <c r="AJ239" s="88">
        <f t="shared" si="31"/>
        <v>131.6</v>
      </c>
      <c r="AK239" s="88">
        <f t="shared" si="32"/>
        <v>148.30000000000001</v>
      </c>
      <c r="AL239" s="88">
        <f t="shared" si="33"/>
        <v>145.4</v>
      </c>
      <c r="AM239" s="89"/>
    </row>
    <row r="240" spans="1:39" x14ac:dyDescent="0.3">
      <c r="A240" s="84" t="s">
        <v>33</v>
      </c>
      <c r="B240" s="85">
        <v>2019</v>
      </c>
      <c r="C240" s="85" t="s">
        <v>42</v>
      </c>
      <c r="D240" s="85">
        <v>142.69999999999999</v>
      </c>
      <c r="E240" s="85">
        <v>158.69999999999999</v>
      </c>
      <c r="F240" s="85">
        <v>141.6</v>
      </c>
      <c r="G240" s="85">
        <v>144.9</v>
      </c>
      <c r="H240" s="85">
        <v>120.8</v>
      </c>
      <c r="I240" s="85">
        <v>149.80000000000001</v>
      </c>
      <c r="J240" s="85">
        <v>192.4</v>
      </c>
      <c r="K240" s="85">
        <v>130.30000000000001</v>
      </c>
      <c r="L240" s="85">
        <v>114</v>
      </c>
      <c r="M240" s="85">
        <v>143.80000000000001</v>
      </c>
      <c r="N240" s="85">
        <v>130</v>
      </c>
      <c r="O240" s="85">
        <v>156.4</v>
      </c>
      <c r="P240" s="85">
        <v>149.5</v>
      </c>
      <c r="Q240" s="85">
        <v>168.6</v>
      </c>
      <c r="R240" s="85">
        <v>145.30000000000001</v>
      </c>
      <c r="S240" s="85">
        <v>132.19999999999999</v>
      </c>
      <c r="T240" s="85">
        <v>143.30000000000001</v>
      </c>
      <c r="U240" s="85">
        <v>152.19999999999999</v>
      </c>
      <c r="V240" s="85">
        <v>126.6</v>
      </c>
      <c r="W240" s="85">
        <v>138.30000000000001</v>
      </c>
      <c r="X240" s="85">
        <v>141.9</v>
      </c>
      <c r="Y240" s="85">
        <v>121.2</v>
      </c>
      <c r="Z240" s="85">
        <v>135.9</v>
      </c>
      <c r="AA240" s="85">
        <v>151.6</v>
      </c>
      <c r="AB240" s="85">
        <v>139</v>
      </c>
      <c r="AC240" s="85">
        <v>135.69999999999999</v>
      </c>
      <c r="AD240" s="85">
        <v>144.69999999999999</v>
      </c>
      <c r="AE240" s="85">
        <f t="shared" si="26"/>
        <v>1874.9</v>
      </c>
      <c r="AF240" s="85">
        <f t="shared" si="27"/>
        <v>168.6</v>
      </c>
      <c r="AG240" s="85">
        <f t="shared" si="28"/>
        <v>420.8</v>
      </c>
      <c r="AH240" s="85">
        <f t="shared" si="29"/>
        <v>417.09999999999997</v>
      </c>
      <c r="AI240" s="85">
        <f t="shared" si="30"/>
        <v>432.5</v>
      </c>
      <c r="AJ240" s="85">
        <f t="shared" si="31"/>
        <v>121.2</v>
      </c>
      <c r="AK240" s="85">
        <f t="shared" si="32"/>
        <v>135.9</v>
      </c>
      <c r="AL240" s="85">
        <f t="shared" si="33"/>
        <v>135.69999999999999</v>
      </c>
      <c r="AM240" s="86"/>
    </row>
    <row r="241" spans="1:39" x14ac:dyDescent="0.3">
      <c r="A241" s="87" t="s">
        <v>34</v>
      </c>
      <c r="B241" s="88">
        <v>2019</v>
      </c>
      <c r="C241" s="88" t="s">
        <v>42</v>
      </c>
      <c r="D241" s="88">
        <v>140.9</v>
      </c>
      <c r="E241" s="88">
        <v>160.80000000000001</v>
      </c>
      <c r="F241" s="88">
        <v>139.6</v>
      </c>
      <c r="G241" s="88">
        <v>145.4</v>
      </c>
      <c r="H241" s="88">
        <v>123.5</v>
      </c>
      <c r="I241" s="88">
        <v>146.6</v>
      </c>
      <c r="J241" s="88">
        <v>173.2</v>
      </c>
      <c r="K241" s="88">
        <v>131.6</v>
      </c>
      <c r="L241" s="88">
        <v>113.2</v>
      </c>
      <c r="M241" s="88">
        <v>144.1</v>
      </c>
      <c r="N241" s="88">
        <v>135</v>
      </c>
      <c r="O241" s="88">
        <v>156.80000000000001</v>
      </c>
      <c r="P241" s="88">
        <v>147</v>
      </c>
      <c r="Q241" s="88">
        <v>166.5</v>
      </c>
      <c r="R241" s="88">
        <v>149.19999999999999</v>
      </c>
      <c r="S241" s="88">
        <v>140.6</v>
      </c>
      <c r="T241" s="88">
        <v>147.9</v>
      </c>
      <c r="U241" s="88">
        <v>152.19999999999999</v>
      </c>
      <c r="V241" s="88">
        <v>139.19999999999999</v>
      </c>
      <c r="W241" s="88">
        <v>144.6</v>
      </c>
      <c r="X241" s="88">
        <v>149</v>
      </c>
      <c r="Y241" s="88">
        <v>126.1</v>
      </c>
      <c r="Z241" s="88">
        <v>141.30000000000001</v>
      </c>
      <c r="AA241" s="88">
        <v>155.19999999999999</v>
      </c>
      <c r="AB241" s="88">
        <v>139.69999999999999</v>
      </c>
      <c r="AC241" s="88">
        <v>140.69999999999999</v>
      </c>
      <c r="AD241" s="88">
        <v>145.80000000000001</v>
      </c>
      <c r="AE241" s="88">
        <f t="shared" si="26"/>
        <v>1857.6999999999998</v>
      </c>
      <c r="AF241" s="88">
        <f t="shared" si="27"/>
        <v>166.5</v>
      </c>
      <c r="AG241" s="88">
        <f t="shared" si="28"/>
        <v>437.69999999999993</v>
      </c>
      <c r="AH241" s="88">
        <f t="shared" si="29"/>
        <v>436</v>
      </c>
      <c r="AI241" s="88">
        <f t="shared" si="30"/>
        <v>443.9</v>
      </c>
      <c r="AJ241" s="88">
        <f t="shared" si="31"/>
        <v>126.1</v>
      </c>
      <c r="AK241" s="88">
        <f t="shared" si="32"/>
        <v>141.30000000000001</v>
      </c>
      <c r="AL241" s="88">
        <f t="shared" si="33"/>
        <v>140.69999999999999</v>
      </c>
      <c r="AM241" s="89"/>
    </row>
    <row r="242" spans="1:39" x14ac:dyDescent="0.3">
      <c r="A242" s="84" t="s">
        <v>30</v>
      </c>
      <c r="B242" s="85">
        <v>2019</v>
      </c>
      <c r="C242" s="85" t="s">
        <v>43</v>
      </c>
      <c r="D242" s="85">
        <v>141</v>
      </c>
      <c r="E242" s="85">
        <v>161.6</v>
      </c>
      <c r="F242" s="85">
        <v>141.19999999999999</v>
      </c>
      <c r="G242" s="85">
        <v>146.5</v>
      </c>
      <c r="H242" s="85">
        <v>125.6</v>
      </c>
      <c r="I242" s="85">
        <v>145.69999999999999</v>
      </c>
      <c r="J242" s="85">
        <v>178.8</v>
      </c>
      <c r="K242" s="85">
        <v>133.1</v>
      </c>
      <c r="L242" s="85">
        <v>113.6</v>
      </c>
      <c r="M242" s="85">
        <v>145.5</v>
      </c>
      <c r="N242" s="85">
        <v>138.6</v>
      </c>
      <c r="O242" s="85">
        <v>157.4</v>
      </c>
      <c r="P242" s="85">
        <v>148.30000000000001</v>
      </c>
      <c r="Q242" s="85">
        <v>166.3</v>
      </c>
      <c r="R242" s="85">
        <v>151.69999999999999</v>
      </c>
      <c r="S242" s="85">
        <v>146.69999999999999</v>
      </c>
      <c r="T242" s="85">
        <v>151</v>
      </c>
      <c r="U242" s="85" t="s">
        <v>32</v>
      </c>
      <c r="V242" s="85">
        <v>147.69999999999999</v>
      </c>
      <c r="W242" s="85">
        <v>150.6</v>
      </c>
      <c r="X242" s="85">
        <v>153.69999999999999</v>
      </c>
      <c r="Y242" s="85">
        <v>131.69999999999999</v>
      </c>
      <c r="Z242" s="85">
        <v>148.69999999999999</v>
      </c>
      <c r="AA242" s="85">
        <v>160.69999999999999</v>
      </c>
      <c r="AB242" s="85">
        <v>140.30000000000001</v>
      </c>
      <c r="AC242" s="85">
        <v>145.69999999999999</v>
      </c>
      <c r="AD242" s="85">
        <v>148.30000000000001</v>
      </c>
      <c r="AE242" s="85">
        <f t="shared" si="26"/>
        <v>1876.8999999999996</v>
      </c>
      <c r="AF242" s="85">
        <f t="shared" si="27"/>
        <v>166.3</v>
      </c>
      <c r="AG242" s="85">
        <f t="shared" si="28"/>
        <v>449.4</v>
      </c>
      <c r="AH242" s="85">
        <f t="shared" si="29"/>
        <v>298.29999999999995</v>
      </c>
      <c r="AI242" s="85">
        <f t="shared" si="30"/>
        <v>454.7</v>
      </c>
      <c r="AJ242" s="85">
        <f t="shared" si="31"/>
        <v>131.69999999999999</v>
      </c>
      <c r="AK242" s="85">
        <f t="shared" si="32"/>
        <v>148.69999999999999</v>
      </c>
      <c r="AL242" s="85">
        <f t="shared" si="33"/>
        <v>145.69999999999999</v>
      </c>
      <c r="AM242" s="86"/>
    </row>
    <row r="243" spans="1:39" x14ac:dyDescent="0.3">
      <c r="A243" s="87" t="s">
        <v>33</v>
      </c>
      <c r="B243" s="88">
        <v>2019</v>
      </c>
      <c r="C243" s="88" t="s">
        <v>43</v>
      </c>
      <c r="D243" s="88">
        <v>143.5</v>
      </c>
      <c r="E243" s="88">
        <v>159.80000000000001</v>
      </c>
      <c r="F243" s="88">
        <v>144.69999999999999</v>
      </c>
      <c r="G243" s="88">
        <v>145.6</v>
      </c>
      <c r="H243" s="88">
        <v>121.1</v>
      </c>
      <c r="I243" s="88">
        <v>150.6</v>
      </c>
      <c r="J243" s="88">
        <v>207.2</v>
      </c>
      <c r="K243" s="88">
        <v>131.19999999999999</v>
      </c>
      <c r="L243" s="88">
        <v>114.8</v>
      </c>
      <c r="M243" s="88">
        <v>145.19999999999999</v>
      </c>
      <c r="N243" s="88">
        <v>130.19999999999999</v>
      </c>
      <c r="O243" s="88">
        <v>156.80000000000001</v>
      </c>
      <c r="P243" s="88">
        <v>151.9</v>
      </c>
      <c r="Q243" s="88">
        <v>169.3</v>
      </c>
      <c r="R243" s="88">
        <v>145.9</v>
      </c>
      <c r="S243" s="88">
        <v>132.4</v>
      </c>
      <c r="T243" s="88">
        <v>143.9</v>
      </c>
      <c r="U243" s="88">
        <v>153</v>
      </c>
      <c r="V243" s="88">
        <v>128.9</v>
      </c>
      <c r="W243" s="88">
        <v>138.69999999999999</v>
      </c>
      <c r="X243" s="88">
        <v>142.4</v>
      </c>
      <c r="Y243" s="88">
        <v>121.5</v>
      </c>
      <c r="Z243" s="88">
        <v>136.19999999999999</v>
      </c>
      <c r="AA243" s="88">
        <v>151.69999999999999</v>
      </c>
      <c r="AB243" s="88">
        <v>139.5</v>
      </c>
      <c r="AC243" s="88">
        <v>136</v>
      </c>
      <c r="AD243" s="88">
        <v>146</v>
      </c>
      <c r="AE243" s="88">
        <f t="shared" si="26"/>
        <v>1902.6000000000001</v>
      </c>
      <c r="AF243" s="88">
        <f t="shared" si="27"/>
        <v>169.3</v>
      </c>
      <c r="AG243" s="88">
        <f t="shared" si="28"/>
        <v>422.20000000000005</v>
      </c>
      <c r="AH243" s="88">
        <f t="shared" si="29"/>
        <v>420.59999999999997</v>
      </c>
      <c r="AI243" s="88">
        <f t="shared" si="30"/>
        <v>433.6</v>
      </c>
      <c r="AJ243" s="88">
        <f t="shared" si="31"/>
        <v>121.5</v>
      </c>
      <c r="AK243" s="88">
        <f t="shared" si="32"/>
        <v>136.19999999999999</v>
      </c>
      <c r="AL243" s="88">
        <f t="shared" si="33"/>
        <v>136</v>
      </c>
      <c r="AM243" s="89"/>
    </row>
    <row r="244" spans="1:39" x14ac:dyDescent="0.3">
      <c r="A244" s="84" t="s">
        <v>34</v>
      </c>
      <c r="B244" s="85">
        <v>2019</v>
      </c>
      <c r="C244" s="85" t="s">
        <v>43</v>
      </c>
      <c r="D244" s="85">
        <v>141.80000000000001</v>
      </c>
      <c r="E244" s="85">
        <v>161</v>
      </c>
      <c r="F244" s="85">
        <v>142.6</v>
      </c>
      <c r="G244" s="85">
        <v>146.19999999999999</v>
      </c>
      <c r="H244" s="85">
        <v>123.9</v>
      </c>
      <c r="I244" s="85">
        <v>148</v>
      </c>
      <c r="J244" s="85">
        <v>188.4</v>
      </c>
      <c r="K244" s="85">
        <v>132.5</v>
      </c>
      <c r="L244" s="85">
        <v>114</v>
      </c>
      <c r="M244" s="85">
        <v>145.4</v>
      </c>
      <c r="N244" s="85">
        <v>135.1</v>
      </c>
      <c r="O244" s="85">
        <v>157.1</v>
      </c>
      <c r="P244" s="85">
        <v>149.6</v>
      </c>
      <c r="Q244" s="85">
        <v>167.1</v>
      </c>
      <c r="R244" s="85">
        <v>149.4</v>
      </c>
      <c r="S244" s="85">
        <v>140.80000000000001</v>
      </c>
      <c r="T244" s="85">
        <v>148.19999999999999</v>
      </c>
      <c r="U244" s="85">
        <v>153</v>
      </c>
      <c r="V244" s="85">
        <v>140.6</v>
      </c>
      <c r="W244" s="85">
        <v>145</v>
      </c>
      <c r="X244" s="85">
        <v>149.4</v>
      </c>
      <c r="Y244" s="85">
        <v>126.3</v>
      </c>
      <c r="Z244" s="85">
        <v>141.69999999999999</v>
      </c>
      <c r="AA244" s="85">
        <v>155.4</v>
      </c>
      <c r="AB244" s="85">
        <v>140</v>
      </c>
      <c r="AC244" s="85">
        <v>141</v>
      </c>
      <c r="AD244" s="85">
        <v>147.19999999999999</v>
      </c>
      <c r="AE244" s="85">
        <f t="shared" si="26"/>
        <v>1885.5999999999997</v>
      </c>
      <c r="AF244" s="85">
        <f t="shared" si="27"/>
        <v>167.1</v>
      </c>
      <c r="AG244" s="85">
        <f t="shared" si="28"/>
        <v>438.40000000000003</v>
      </c>
      <c r="AH244" s="85">
        <f t="shared" si="29"/>
        <v>438.6</v>
      </c>
      <c r="AI244" s="85">
        <f t="shared" si="30"/>
        <v>444.8</v>
      </c>
      <c r="AJ244" s="85">
        <f t="shared" si="31"/>
        <v>126.3</v>
      </c>
      <c r="AK244" s="85">
        <f t="shared" si="32"/>
        <v>141.69999999999999</v>
      </c>
      <c r="AL244" s="85">
        <f t="shared" si="33"/>
        <v>141</v>
      </c>
      <c r="AM244" s="86"/>
    </row>
    <row r="245" spans="1:39" x14ac:dyDescent="0.3">
      <c r="A245" s="87" t="s">
        <v>30</v>
      </c>
      <c r="B245" s="88">
        <v>2019</v>
      </c>
      <c r="C245" s="88" t="s">
        <v>45</v>
      </c>
      <c r="D245" s="88">
        <v>141.80000000000001</v>
      </c>
      <c r="E245" s="88">
        <v>163.69999999999999</v>
      </c>
      <c r="F245" s="88">
        <v>143.80000000000001</v>
      </c>
      <c r="G245" s="88">
        <v>147.1</v>
      </c>
      <c r="H245" s="88">
        <v>126</v>
      </c>
      <c r="I245" s="88">
        <v>146.19999999999999</v>
      </c>
      <c r="J245" s="88">
        <v>191.4</v>
      </c>
      <c r="K245" s="88">
        <v>136.19999999999999</v>
      </c>
      <c r="L245" s="88">
        <v>113.8</v>
      </c>
      <c r="M245" s="88">
        <v>147.30000000000001</v>
      </c>
      <c r="N245" s="88">
        <v>138.69999999999999</v>
      </c>
      <c r="O245" s="88">
        <v>157.69999999999999</v>
      </c>
      <c r="P245" s="88">
        <v>150.9</v>
      </c>
      <c r="Q245" s="88">
        <v>167.2</v>
      </c>
      <c r="R245" s="88">
        <v>152.30000000000001</v>
      </c>
      <c r="S245" s="88">
        <v>147</v>
      </c>
      <c r="T245" s="88">
        <v>151.5</v>
      </c>
      <c r="U245" s="88" t="s">
        <v>32</v>
      </c>
      <c r="V245" s="88">
        <v>148.4</v>
      </c>
      <c r="W245" s="88">
        <v>150.9</v>
      </c>
      <c r="X245" s="88">
        <v>154.30000000000001</v>
      </c>
      <c r="Y245" s="88">
        <v>132.1</v>
      </c>
      <c r="Z245" s="88">
        <v>149.1</v>
      </c>
      <c r="AA245" s="88">
        <v>160.80000000000001</v>
      </c>
      <c r="AB245" s="88">
        <v>140.6</v>
      </c>
      <c r="AC245" s="88">
        <v>146.1</v>
      </c>
      <c r="AD245" s="88">
        <v>149.9</v>
      </c>
      <c r="AE245" s="88">
        <f t="shared" si="26"/>
        <v>1904.6000000000001</v>
      </c>
      <c r="AF245" s="88">
        <f t="shared" si="27"/>
        <v>167.2</v>
      </c>
      <c r="AG245" s="88">
        <f t="shared" si="28"/>
        <v>450.8</v>
      </c>
      <c r="AH245" s="88">
        <f t="shared" si="29"/>
        <v>299.3</v>
      </c>
      <c r="AI245" s="88">
        <f t="shared" si="30"/>
        <v>455.70000000000005</v>
      </c>
      <c r="AJ245" s="88">
        <f t="shared" si="31"/>
        <v>132.1</v>
      </c>
      <c r="AK245" s="88">
        <f t="shared" si="32"/>
        <v>149.1</v>
      </c>
      <c r="AL245" s="88">
        <f t="shared" si="33"/>
        <v>146.1</v>
      </c>
      <c r="AM245" s="89"/>
    </row>
    <row r="246" spans="1:39" x14ac:dyDescent="0.3">
      <c r="A246" s="84" t="s">
        <v>33</v>
      </c>
      <c r="B246" s="85">
        <v>2019</v>
      </c>
      <c r="C246" s="85" t="s">
        <v>45</v>
      </c>
      <c r="D246" s="85">
        <v>144.1</v>
      </c>
      <c r="E246" s="85">
        <v>162.4</v>
      </c>
      <c r="F246" s="85">
        <v>148.4</v>
      </c>
      <c r="G246" s="85">
        <v>145.9</v>
      </c>
      <c r="H246" s="85">
        <v>121.5</v>
      </c>
      <c r="I246" s="85">
        <v>148.80000000000001</v>
      </c>
      <c r="J246" s="85">
        <v>215.7</v>
      </c>
      <c r="K246" s="85">
        <v>134.6</v>
      </c>
      <c r="L246" s="85">
        <v>115</v>
      </c>
      <c r="M246" s="85">
        <v>146.30000000000001</v>
      </c>
      <c r="N246" s="85">
        <v>130.5</v>
      </c>
      <c r="O246" s="85">
        <v>157.19999999999999</v>
      </c>
      <c r="P246" s="85">
        <v>153.6</v>
      </c>
      <c r="Q246" s="85">
        <v>169.9</v>
      </c>
      <c r="R246" s="85">
        <v>146.30000000000001</v>
      </c>
      <c r="S246" s="85">
        <v>132.6</v>
      </c>
      <c r="T246" s="85">
        <v>144.19999999999999</v>
      </c>
      <c r="U246" s="85">
        <v>153.5</v>
      </c>
      <c r="V246" s="85">
        <v>132.19999999999999</v>
      </c>
      <c r="W246" s="85">
        <v>139.1</v>
      </c>
      <c r="X246" s="85">
        <v>142.80000000000001</v>
      </c>
      <c r="Y246" s="85">
        <v>121.7</v>
      </c>
      <c r="Z246" s="85">
        <v>136.69999999999999</v>
      </c>
      <c r="AA246" s="85">
        <v>151.80000000000001</v>
      </c>
      <c r="AB246" s="85">
        <v>139.80000000000001</v>
      </c>
      <c r="AC246" s="85">
        <v>136.30000000000001</v>
      </c>
      <c r="AD246" s="85">
        <v>147</v>
      </c>
      <c r="AE246" s="85">
        <f t="shared" si="26"/>
        <v>1923.9999999999998</v>
      </c>
      <c r="AF246" s="85">
        <f t="shared" si="27"/>
        <v>169.9</v>
      </c>
      <c r="AG246" s="85">
        <f t="shared" si="28"/>
        <v>423.09999999999997</v>
      </c>
      <c r="AH246" s="85">
        <f t="shared" si="29"/>
        <v>424.79999999999995</v>
      </c>
      <c r="AI246" s="85">
        <f t="shared" si="30"/>
        <v>434.40000000000003</v>
      </c>
      <c r="AJ246" s="85">
        <f t="shared" si="31"/>
        <v>121.7</v>
      </c>
      <c r="AK246" s="85">
        <f t="shared" si="32"/>
        <v>136.69999999999999</v>
      </c>
      <c r="AL246" s="85">
        <f t="shared" si="33"/>
        <v>136.30000000000001</v>
      </c>
      <c r="AM246" s="86"/>
    </row>
    <row r="247" spans="1:39" x14ac:dyDescent="0.3">
      <c r="A247" s="87" t="s">
        <v>34</v>
      </c>
      <c r="B247" s="88">
        <v>2019</v>
      </c>
      <c r="C247" s="88" t="s">
        <v>45</v>
      </c>
      <c r="D247" s="88">
        <v>142.5</v>
      </c>
      <c r="E247" s="88">
        <v>163.19999999999999</v>
      </c>
      <c r="F247" s="88">
        <v>145.6</v>
      </c>
      <c r="G247" s="88">
        <v>146.69999999999999</v>
      </c>
      <c r="H247" s="88">
        <v>124.3</v>
      </c>
      <c r="I247" s="88">
        <v>147.4</v>
      </c>
      <c r="J247" s="88">
        <v>199.6</v>
      </c>
      <c r="K247" s="88">
        <v>135.69999999999999</v>
      </c>
      <c r="L247" s="88">
        <v>114.2</v>
      </c>
      <c r="M247" s="88">
        <v>147</v>
      </c>
      <c r="N247" s="88">
        <v>135.30000000000001</v>
      </c>
      <c r="O247" s="88">
        <v>157.5</v>
      </c>
      <c r="P247" s="88">
        <v>151.9</v>
      </c>
      <c r="Q247" s="88">
        <v>167.9</v>
      </c>
      <c r="R247" s="88">
        <v>149.9</v>
      </c>
      <c r="S247" s="88">
        <v>141</v>
      </c>
      <c r="T247" s="88">
        <v>148.6</v>
      </c>
      <c r="U247" s="88">
        <v>153.5</v>
      </c>
      <c r="V247" s="88">
        <v>142.30000000000001</v>
      </c>
      <c r="W247" s="88">
        <v>145.30000000000001</v>
      </c>
      <c r="X247" s="88">
        <v>149.9</v>
      </c>
      <c r="Y247" s="88">
        <v>126.6</v>
      </c>
      <c r="Z247" s="88">
        <v>142.1</v>
      </c>
      <c r="AA247" s="88">
        <v>155.5</v>
      </c>
      <c r="AB247" s="88">
        <v>140.30000000000001</v>
      </c>
      <c r="AC247" s="88">
        <v>141.30000000000001</v>
      </c>
      <c r="AD247" s="88">
        <v>148.6</v>
      </c>
      <c r="AE247" s="88">
        <f t="shared" si="26"/>
        <v>1910.9</v>
      </c>
      <c r="AF247" s="88">
        <f t="shared" si="27"/>
        <v>167.9</v>
      </c>
      <c r="AG247" s="88">
        <f t="shared" si="28"/>
        <v>439.5</v>
      </c>
      <c r="AH247" s="88">
        <f t="shared" si="29"/>
        <v>441.1</v>
      </c>
      <c r="AI247" s="88">
        <f t="shared" si="30"/>
        <v>445.7</v>
      </c>
      <c r="AJ247" s="88">
        <f t="shared" si="31"/>
        <v>126.6</v>
      </c>
      <c r="AK247" s="88">
        <f t="shared" si="32"/>
        <v>142.1</v>
      </c>
      <c r="AL247" s="88">
        <f t="shared" si="33"/>
        <v>141.30000000000001</v>
      </c>
      <c r="AM247" s="89"/>
    </row>
    <row r="248" spans="1:39" x14ac:dyDescent="0.3">
      <c r="A248" s="84" t="s">
        <v>30</v>
      </c>
      <c r="B248" s="85">
        <v>2019</v>
      </c>
      <c r="C248" s="85" t="s">
        <v>46</v>
      </c>
      <c r="D248" s="85">
        <v>142.80000000000001</v>
      </c>
      <c r="E248" s="85">
        <v>165.3</v>
      </c>
      <c r="F248" s="85">
        <v>149.5</v>
      </c>
      <c r="G248" s="85">
        <v>148.69999999999999</v>
      </c>
      <c r="H248" s="85">
        <v>127.5</v>
      </c>
      <c r="I248" s="85">
        <v>144.30000000000001</v>
      </c>
      <c r="J248" s="85">
        <v>209.5</v>
      </c>
      <c r="K248" s="85">
        <v>138.80000000000001</v>
      </c>
      <c r="L248" s="85">
        <v>113.6</v>
      </c>
      <c r="M248" s="85">
        <v>149.1</v>
      </c>
      <c r="N248" s="85">
        <v>139.30000000000001</v>
      </c>
      <c r="O248" s="85">
        <v>158.30000000000001</v>
      </c>
      <c r="P248" s="85">
        <v>154.30000000000001</v>
      </c>
      <c r="Q248" s="85">
        <v>167.8</v>
      </c>
      <c r="R248" s="85">
        <v>152.6</v>
      </c>
      <c r="S248" s="85">
        <v>147.30000000000001</v>
      </c>
      <c r="T248" s="85">
        <v>151.9</v>
      </c>
      <c r="U248" s="85" t="s">
        <v>32</v>
      </c>
      <c r="V248" s="85">
        <v>149.9</v>
      </c>
      <c r="W248" s="85">
        <v>151.19999999999999</v>
      </c>
      <c r="X248" s="85">
        <v>154.80000000000001</v>
      </c>
      <c r="Y248" s="85">
        <v>135</v>
      </c>
      <c r="Z248" s="85">
        <v>149.5</v>
      </c>
      <c r="AA248" s="85">
        <v>161.1</v>
      </c>
      <c r="AB248" s="85">
        <v>140.6</v>
      </c>
      <c r="AC248" s="85">
        <v>147.1</v>
      </c>
      <c r="AD248" s="85">
        <v>152.30000000000001</v>
      </c>
      <c r="AE248" s="85">
        <f t="shared" si="26"/>
        <v>1940.9999999999995</v>
      </c>
      <c r="AF248" s="85">
        <f t="shared" si="27"/>
        <v>167.8</v>
      </c>
      <c r="AG248" s="85">
        <f t="shared" si="28"/>
        <v>451.79999999999995</v>
      </c>
      <c r="AH248" s="85">
        <f t="shared" si="29"/>
        <v>301.10000000000002</v>
      </c>
      <c r="AI248" s="85">
        <f t="shared" si="30"/>
        <v>456.5</v>
      </c>
      <c r="AJ248" s="85">
        <f t="shared" si="31"/>
        <v>135</v>
      </c>
      <c r="AK248" s="85">
        <f t="shared" si="32"/>
        <v>149.5</v>
      </c>
      <c r="AL248" s="85">
        <f t="shared" si="33"/>
        <v>147.1</v>
      </c>
      <c r="AM248" s="86"/>
    </row>
    <row r="249" spans="1:39" x14ac:dyDescent="0.3">
      <c r="A249" s="87" t="s">
        <v>33</v>
      </c>
      <c r="B249" s="88">
        <v>2019</v>
      </c>
      <c r="C249" s="88" t="s">
        <v>46</v>
      </c>
      <c r="D249" s="88">
        <v>144.9</v>
      </c>
      <c r="E249" s="88">
        <v>164.5</v>
      </c>
      <c r="F249" s="88">
        <v>153.69999999999999</v>
      </c>
      <c r="G249" s="88">
        <v>147.5</v>
      </c>
      <c r="H249" s="88">
        <v>122.7</v>
      </c>
      <c r="I249" s="88">
        <v>147.19999999999999</v>
      </c>
      <c r="J249" s="88">
        <v>231.5</v>
      </c>
      <c r="K249" s="88">
        <v>137.19999999999999</v>
      </c>
      <c r="L249" s="88">
        <v>114.7</v>
      </c>
      <c r="M249" s="88">
        <v>148</v>
      </c>
      <c r="N249" s="88">
        <v>130.80000000000001</v>
      </c>
      <c r="O249" s="88">
        <v>157.69999999999999</v>
      </c>
      <c r="P249" s="88">
        <v>156.30000000000001</v>
      </c>
      <c r="Q249" s="88">
        <v>170.4</v>
      </c>
      <c r="R249" s="88">
        <v>146.80000000000001</v>
      </c>
      <c r="S249" s="88">
        <v>132.80000000000001</v>
      </c>
      <c r="T249" s="88">
        <v>144.6</v>
      </c>
      <c r="U249" s="88">
        <v>152.80000000000001</v>
      </c>
      <c r="V249" s="88">
        <v>133.6</v>
      </c>
      <c r="W249" s="88">
        <v>139.80000000000001</v>
      </c>
      <c r="X249" s="88">
        <v>143.19999999999999</v>
      </c>
      <c r="Y249" s="88">
        <v>125.2</v>
      </c>
      <c r="Z249" s="88">
        <v>136.80000000000001</v>
      </c>
      <c r="AA249" s="88">
        <v>151.9</v>
      </c>
      <c r="AB249" s="88">
        <v>140.19999999999999</v>
      </c>
      <c r="AC249" s="88">
        <v>137.69999999999999</v>
      </c>
      <c r="AD249" s="88">
        <v>148.30000000000001</v>
      </c>
      <c r="AE249" s="88">
        <f t="shared" si="26"/>
        <v>1956.7</v>
      </c>
      <c r="AF249" s="88">
        <f t="shared" si="27"/>
        <v>170.4</v>
      </c>
      <c r="AG249" s="88">
        <f t="shared" si="28"/>
        <v>424.20000000000005</v>
      </c>
      <c r="AH249" s="88">
        <f t="shared" si="29"/>
        <v>426.2</v>
      </c>
      <c r="AI249" s="88">
        <f t="shared" si="30"/>
        <v>435.3</v>
      </c>
      <c r="AJ249" s="88">
        <f t="shared" si="31"/>
        <v>125.2</v>
      </c>
      <c r="AK249" s="88">
        <f t="shared" si="32"/>
        <v>136.80000000000001</v>
      </c>
      <c r="AL249" s="88">
        <f t="shared" si="33"/>
        <v>137.69999999999999</v>
      </c>
      <c r="AM249" s="89"/>
    </row>
    <row r="250" spans="1:39" x14ac:dyDescent="0.3">
      <c r="A250" s="84" t="s">
        <v>34</v>
      </c>
      <c r="B250" s="85">
        <v>2019</v>
      </c>
      <c r="C250" s="85" t="s">
        <v>46</v>
      </c>
      <c r="D250" s="85">
        <v>143.5</v>
      </c>
      <c r="E250" s="85">
        <v>165</v>
      </c>
      <c r="F250" s="85">
        <v>151.1</v>
      </c>
      <c r="G250" s="85">
        <v>148.30000000000001</v>
      </c>
      <c r="H250" s="85">
        <v>125.7</v>
      </c>
      <c r="I250" s="85">
        <v>145.69999999999999</v>
      </c>
      <c r="J250" s="85">
        <v>217</v>
      </c>
      <c r="K250" s="85">
        <v>138.30000000000001</v>
      </c>
      <c r="L250" s="85">
        <v>114</v>
      </c>
      <c r="M250" s="85">
        <v>148.69999999999999</v>
      </c>
      <c r="N250" s="85">
        <v>135.80000000000001</v>
      </c>
      <c r="O250" s="85">
        <v>158</v>
      </c>
      <c r="P250" s="85">
        <v>155</v>
      </c>
      <c r="Q250" s="85">
        <v>168.5</v>
      </c>
      <c r="R250" s="85">
        <v>150.30000000000001</v>
      </c>
      <c r="S250" s="85">
        <v>141.30000000000001</v>
      </c>
      <c r="T250" s="85">
        <v>149</v>
      </c>
      <c r="U250" s="85">
        <v>152.80000000000001</v>
      </c>
      <c r="V250" s="85">
        <v>143.69999999999999</v>
      </c>
      <c r="W250" s="85">
        <v>145.80000000000001</v>
      </c>
      <c r="X250" s="85">
        <v>150.4</v>
      </c>
      <c r="Y250" s="85">
        <v>129.80000000000001</v>
      </c>
      <c r="Z250" s="85">
        <v>142.30000000000001</v>
      </c>
      <c r="AA250" s="85">
        <v>155.69999999999999</v>
      </c>
      <c r="AB250" s="85">
        <v>140.4</v>
      </c>
      <c r="AC250" s="85">
        <v>142.5</v>
      </c>
      <c r="AD250" s="85">
        <v>150.4</v>
      </c>
      <c r="AE250" s="85">
        <f t="shared" si="26"/>
        <v>1946.1000000000001</v>
      </c>
      <c r="AF250" s="85">
        <f t="shared" si="27"/>
        <v>168.5</v>
      </c>
      <c r="AG250" s="85">
        <f t="shared" si="28"/>
        <v>440.6</v>
      </c>
      <c r="AH250" s="85">
        <f t="shared" si="29"/>
        <v>442.3</v>
      </c>
      <c r="AI250" s="85">
        <f t="shared" si="30"/>
        <v>446.5</v>
      </c>
      <c r="AJ250" s="85">
        <f t="shared" si="31"/>
        <v>129.80000000000001</v>
      </c>
      <c r="AK250" s="85">
        <f t="shared" si="32"/>
        <v>142.30000000000001</v>
      </c>
      <c r="AL250" s="85">
        <f t="shared" si="33"/>
        <v>142.5</v>
      </c>
      <c r="AM250" s="86"/>
    </row>
    <row r="251" spans="1:39" x14ac:dyDescent="0.3">
      <c r="A251" s="87" t="s">
        <v>30</v>
      </c>
      <c r="B251" s="88">
        <v>2020</v>
      </c>
      <c r="C251" s="88" t="s">
        <v>31</v>
      </c>
      <c r="D251" s="88">
        <v>143.69999999999999</v>
      </c>
      <c r="E251" s="88">
        <v>167.3</v>
      </c>
      <c r="F251" s="88">
        <v>153.5</v>
      </c>
      <c r="G251" s="88">
        <v>150.5</v>
      </c>
      <c r="H251" s="88">
        <v>132</v>
      </c>
      <c r="I251" s="88">
        <v>142.19999999999999</v>
      </c>
      <c r="J251" s="88">
        <v>191.5</v>
      </c>
      <c r="K251" s="88">
        <v>141.1</v>
      </c>
      <c r="L251" s="88">
        <v>113.8</v>
      </c>
      <c r="M251" s="88">
        <v>151.6</v>
      </c>
      <c r="N251" s="88">
        <v>139.69999999999999</v>
      </c>
      <c r="O251" s="88">
        <v>158.69999999999999</v>
      </c>
      <c r="P251" s="88">
        <v>153</v>
      </c>
      <c r="Q251" s="88">
        <v>168.6</v>
      </c>
      <c r="R251" s="88">
        <v>152.80000000000001</v>
      </c>
      <c r="S251" s="88">
        <v>147.4</v>
      </c>
      <c r="T251" s="88">
        <v>152.1</v>
      </c>
      <c r="U251" s="88" t="s">
        <v>32</v>
      </c>
      <c r="V251" s="88">
        <v>150.4</v>
      </c>
      <c r="W251" s="88">
        <v>151.69999999999999</v>
      </c>
      <c r="X251" s="88">
        <v>155.69999999999999</v>
      </c>
      <c r="Y251" s="88">
        <v>136.30000000000001</v>
      </c>
      <c r="Z251" s="88">
        <v>150.1</v>
      </c>
      <c r="AA251" s="88">
        <v>161.69999999999999</v>
      </c>
      <c r="AB251" s="88">
        <v>142.5</v>
      </c>
      <c r="AC251" s="88">
        <v>148.1</v>
      </c>
      <c r="AD251" s="88">
        <v>151.9</v>
      </c>
      <c r="AE251" s="88">
        <f t="shared" si="26"/>
        <v>1938.6</v>
      </c>
      <c r="AF251" s="88">
        <f t="shared" si="27"/>
        <v>168.6</v>
      </c>
      <c r="AG251" s="88">
        <f t="shared" si="28"/>
        <v>452.30000000000007</v>
      </c>
      <c r="AH251" s="88">
        <f t="shared" si="29"/>
        <v>302.10000000000002</v>
      </c>
      <c r="AI251" s="88">
        <f t="shared" si="30"/>
        <v>459.9</v>
      </c>
      <c r="AJ251" s="88">
        <f t="shared" si="31"/>
        <v>136.30000000000001</v>
      </c>
      <c r="AK251" s="88">
        <f t="shared" si="32"/>
        <v>150.1</v>
      </c>
      <c r="AL251" s="88">
        <f t="shared" si="33"/>
        <v>148.1</v>
      </c>
      <c r="AM251" s="89"/>
    </row>
    <row r="252" spans="1:39" x14ac:dyDescent="0.3">
      <c r="A252" s="84" t="s">
        <v>33</v>
      </c>
      <c r="B252" s="85">
        <v>2020</v>
      </c>
      <c r="C252" s="85" t="s">
        <v>31</v>
      </c>
      <c r="D252" s="85">
        <v>145.6</v>
      </c>
      <c r="E252" s="85">
        <v>167.6</v>
      </c>
      <c r="F252" s="85">
        <v>157</v>
      </c>
      <c r="G252" s="85">
        <v>149.30000000000001</v>
      </c>
      <c r="H252" s="85">
        <v>126.3</v>
      </c>
      <c r="I252" s="85">
        <v>144.4</v>
      </c>
      <c r="J252" s="85">
        <v>207.8</v>
      </c>
      <c r="K252" s="85">
        <v>139.1</v>
      </c>
      <c r="L252" s="85">
        <v>114.8</v>
      </c>
      <c r="M252" s="85">
        <v>149.5</v>
      </c>
      <c r="N252" s="85">
        <v>131.1</v>
      </c>
      <c r="O252" s="85">
        <v>158.5</v>
      </c>
      <c r="P252" s="85">
        <v>154.4</v>
      </c>
      <c r="Q252" s="85">
        <v>170.8</v>
      </c>
      <c r="R252" s="85">
        <v>147</v>
      </c>
      <c r="S252" s="85">
        <v>133.19999999999999</v>
      </c>
      <c r="T252" s="85">
        <v>144.9</v>
      </c>
      <c r="U252" s="85">
        <v>153.9</v>
      </c>
      <c r="V252" s="85">
        <v>135.1</v>
      </c>
      <c r="W252" s="85">
        <v>140.1</v>
      </c>
      <c r="X252" s="85">
        <v>143.80000000000001</v>
      </c>
      <c r="Y252" s="85">
        <v>126.1</v>
      </c>
      <c r="Z252" s="85">
        <v>137.19999999999999</v>
      </c>
      <c r="AA252" s="85">
        <v>152.1</v>
      </c>
      <c r="AB252" s="85">
        <v>142.1</v>
      </c>
      <c r="AC252" s="85">
        <v>138.4</v>
      </c>
      <c r="AD252" s="85">
        <v>148.19999999999999</v>
      </c>
      <c r="AE252" s="85">
        <f t="shared" si="26"/>
        <v>1945.3999999999999</v>
      </c>
      <c r="AF252" s="85">
        <f t="shared" si="27"/>
        <v>170.8</v>
      </c>
      <c r="AG252" s="85">
        <f t="shared" si="28"/>
        <v>425.1</v>
      </c>
      <c r="AH252" s="85">
        <f t="shared" si="29"/>
        <v>429.1</v>
      </c>
      <c r="AI252" s="85">
        <f t="shared" si="30"/>
        <v>438</v>
      </c>
      <c r="AJ252" s="85">
        <f t="shared" si="31"/>
        <v>126.1</v>
      </c>
      <c r="AK252" s="85">
        <f t="shared" si="32"/>
        <v>137.19999999999999</v>
      </c>
      <c r="AL252" s="85">
        <f t="shared" si="33"/>
        <v>138.4</v>
      </c>
      <c r="AM252" s="86"/>
    </row>
    <row r="253" spans="1:39" x14ac:dyDescent="0.3">
      <c r="A253" s="87" t="s">
        <v>34</v>
      </c>
      <c r="B253" s="88">
        <v>2020</v>
      </c>
      <c r="C253" s="88" t="s">
        <v>31</v>
      </c>
      <c r="D253" s="88">
        <v>144.30000000000001</v>
      </c>
      <c r="E253" s="88">
        <v>167.4</v>
      </c>
      <c r="F253" s="88">
        <v>154.9</v>
      </c>
      <c r="G253" s="88">
        <v>150.1</v>
      </c>
      <c r="H253" s="88">
        <v>129.9</v>
      </c>
      <c r="I253" s="88">
        <v>143.19999999999999</v>
      </c>
      <c r="J253" s="88">
        <v>197</v>
      </c>
      <c r="K253" s="88">
        <v>140.4</v>
      </c>
      <c r="L253" s="88">
        <v>114.1</v>
      </c>
      <c r="M253" s="88">
        <v>150.9</v>
      </c>
      <c r="N253" s="88">
        <v>136.1</v>
      </c>
      <c r="O253" s="88">
        <v>158.6</v>
      </c>
      <c r="P253" s="88">
        <v>153.5</v>
      </c>
      <c r="Q253" s="88">
        <v>169.2</v>
      </c>
      <c r="R253" s="88">
        <v>150.5</v>
      </c>
      <c r="S253" s="88">
        <v>141.5</v>
      </c>
      <c r="T253" s="88">
        <v>149.19999999999999</v>
      </c>
      <c r="U253" s="88">
        <v>153.9</v>
      </c>
      <c r="V253" s="88">
        <v>144.6</v>
      </c>
      <c r="W253" s="88">
        <v>146.19999999999999</v>
      </c>
      <c r="X253" s="88">
        <v>151.19999999999999</v>
      </c>
      <c r="Y253" s="88">
        <v>130.9</v>
      </c>
      <c r="Z253" s="88">
        <v>142.80000000000001</v>
      </c>
      <c r="AA253" s="88">
        <v>156.1</v>
      </c>
      <c r="AB253" s="88">
        <v>142.30000000000001</v>
      </c>
      <c r="AC253" s="88">
        <v>143.4</v>
      </c>
      <c r="AD253" s="88">
        <v>150.19999999999999</v>
      </c>
      <c r="AE253" s="88">
        <f t="shared" si="26"/>
        <v>1940.3999999999999</v>
      </c>
      <c r="AF253" s="88">
        <f t="shared" si="27"/>
        <v>169.2</v>
      </c>
      <c r="AG253" s="88">
        <f t="shared" si="28"/>
        <v>441.2</v>
      </c>
      <c r="AH253" s="88">
        <f t="shared" si="29"/>
        <v>444.7</v>
      </c>
      <c r="AI253" s="88">
        <f t="shared" si="30"/>
        <v>449.59999999999997</v>
      </c>
      <c r="AJ253" s="88">
        <f t="shared" si="31"/>
        <v>130.9</v>
      </c>
      <c r="AK253" s="88">
        <f t="shared" si="32"/>
        <v>142.80000000000001</v>
      </c>
      <c r="AL253" s="88">
        <f t="shared" si="33"/>
        <v>143.4</v>
      </c>
      <c r="AM253" s="89"/>
    </row>
    <row r="254" spans="1:39" x14ac:dyDescent="0.3">
      <c r="A254" s="84" t="s">
        <v>30</v>
      </c>
      <c r="B254" s="85">
        <v>2020</v>
      </c>
      <c r="C254" s="85" t="s">
        <v>35</v>
      </c>
      <c r="D254" s="85">
        <v>144.19999999999999</v>
      </c>
      <c r="E254" s="85">
        <v>167.5</v>
      </c>
      <c r="F254" s="85">
        <v>150.9</v>
      </c>
      <c r="G254" s="85">
        <v>150.9</v>
      </c>
      <c r="H254" s="85">
        <v>133.69999999999999</v>
      </c>
      <c r="I254" s="85">
        <v>140.69999999999999</v>
      </c>
      <c r="J254" s="85">
        <v>165.1</v>
      </c>
      <c r="K254" s="85">
        <v>141.80000000000001</v>
      </c>
      <c r="L254" s="85">
        <v>113.1</v>
      </c>
      <c r="M254" s="85">
        <v>152.80000000000001</v>
      </c>
      <c r="N254" s="85">
        <v>140.1</v>
      </c>
      <c r="O254" s="85">
        <v>159.19999999999999</v>
      </c>
      <c r="P254" s="85">
        <v>149.80000000000001</v>
      </c>
      <c r="Q254" s="85">
        <v>169.4</v>
      </c>
      <c r="R254" s="85">
        <v>153</v>
      </c>
      <c r="S254" s="85">
        <v>147.5</v>
      </c>
      <c r="T254" s="85">
        <v>152.30000000000001</v>
      </c>
      <c r="U254" s="85" t="s">
        <v>32</v>
      </c>
      <c r="V254" s="85">
        <v>152.30000000000001</v>
      </c>
      <c r="W254" s="85">
        <v>151.80000000000001</v>
      </c>
      <c r="X254" s="85">
        <v>156.19999999999999</v>
      </c>
      <c r="Y254" s="85">
        <v>136</v>
      </c>
      <c r="Z254" s="85">
        <v>150.4</v>
      </c>
      <c r="AA254" s="85">
        <v>161.9</v>
      </c>
      <c r="AB254" s="85">
        <v>143.4</v>
      </c>
      <c r="AC254" s="85">
        <v>148.4</v>
      </c>
      <c r="AD254" s="85">
        <v>150.4</v>
      </c>
      <c r="AE254" s="85">
        <f t="shared" si="26"/>
        <v>1909.7999999999997</v>
      </c>
      <c r="AF254" s="85">
        <f t="shared" si="27"/>
        <v>169.4</v>
      </c>
      <c r="AG254" s="85">
        <f t="shared" si="28"/>
        <v>452.8</v>
      </c>
      <c r="AH254" s="85">
        <f t="shared" si="29"/>
        <v>304.10000000000002</v>
      </c>
      <c r="AI254" s="85">
        <f t="shared" si="30"/>
        <v>461.5</v>
      </c>
      <c r="AJ254" s="85">
        <f t="shared" si="31"/>
        <v>136</v>
      </c>
      <c r="AK254" s="85">
        <f t="shared" si="32"/>
        <v>150.4</v>
      </c>
      <c r="AL254" s="85">
        <f t="shared" si="33"/>
        <v>148.4</v>
      </c>
      <c r="AM254" s="86"/>
    </row>
    <row r="255" spans="1:39" x14ac:dyDescent="0.3">
      <c r="A255" s="87" t="s">
        <v>33</v>
      </c>
      <c r="B255" s="88">
        <v>2020</v>
      </c>
      <c r="C255" s="88" t="s">
        <v>35</v>
      </c>
      <c r="D255" s="88">
        <v>146.19999999999999</v>
      </c>
      <c r="E255" s="88">
        <v>167.6</v>
      </c>
      <c r="F255" s="88">
        <v>153.1</v>
      </c>
      <c r="G255" s="88">
        <v>150.69999999999999</v>
      </c>
      <c r="H255" s="88">
        <v>127.4</v>
      </c>
      <c r="I255" s="88">
        <v>143.1</v>
      </c>
      <c r="J255" s="88">
        <v>181.7</v>
      </c>
      <c r="K255" s="88">
        <v>139.6</v>
      </c>
      <c r="L255" s="88">
        <v>114.6</v>
      </c>
      <c r="M255" s="88">
        <v>150.4</v>
      </c>
      <c r="N255" s="88">
        <v>131.5</v>
      </c>
      <c r="O255" s="88">
        <v>159</v>
      </c>
      <c r="P255" s="88">
        <v>151.69999999999999</v>
      </c>
      <c r="Q255" s="88">
        <v>172</v>
      </c>
      <c r="R255" s="88">
        <v>147.30000000000001</v>
      </c>
      <c r="S255" s="88">
        <v>133.5</v>
      </c>
      <c r="T255" s="88">
        <v>145.19999999999999</v>
      </c>
      <c r="U255" s="88">
        <v>154.80000000000001</v>
      </c>
      <c r="V255" s="88">
        <v>138.9</v>
      </c>
      <c r="W255" s="88">
        <v>140.4</v>
      </c>
      <c r="X255" s="88">
        <v>144.4</v>
      </c>
      <c r="Y255" s="88">
        <v>125.2</v>
      </c>
      <c r="Z255" s="88">
        <v>137.69999999999999</v>
      </c>
      <c r="AA255" s="88">
        <v>152.19999999999999</v>
      </c>
      <c r="AB255" s="88">
        <v>143.5</v>
      </c>
      <c r="AC255" s="88">
        <v>138.4</v>
      </c>
      <c r="AD255" s="88">
        <v>147.69999999999999</v>
      </c>
      <c r="AE255" s="88">
        <f t="shared" si="26"/>
        <v>1916.6</v>
      </c>
      <c r="AF255" s="88">
        <f t="shared" si="27"/>
        <v>172</v>
      </c>
      <c r="AG255" s="88">
        <f t="shared" si="28"/>
        <v>426</v>
      </c>
      <c r="AH255" s="88">
        <f t="shared" si="29"/>
        <v>434.1</v>
      </c>
      <c r="AI255" s="88">
        <f t="shared" si="30"/>
        <v>440.1</v>
      </c>
      <c r="AJ255" s="88">
        <f t="shared" si="31"/>
        <v>125.2</v>
      </c>
      <c r="AK255" s="88">
        <f t="shared" si="32"/>
        <v>137.69999999999999</v>
      </c>
      <c r="AL255" s="88">
        <f t="shared" si="33"/>
        <v>138.4</v>
      </c>
      <c r="AM255" s="89"/>
    </row>
    <row r="256" spans="1:39" x14ac:dyDescent="0.3">
      <c r="A256" s="84" t="s">
        <v>34</v>
      </c>
      <c r="B256" s="85">
        <v>2020</v>
      </c>
      <c r="C256" s="85" t="s">
        <v>35</v>
      </c>
      <c r="D256" s="85">
        <v>144.80000000000001</v>
      </c>
      <c r="E256" s="85">
        <v>167.5</v>
      </c>
      <c r="F256" s="85">
        <v>151.80000000000001</v>
      </c>
      <c r="G256" s="85">
        <v>150.80000000000001</v>
      </c>
      <c r="H256" s="85">
        <v>131.4</v>
      </c>
      <c r="I256" s="85">
        <v>141.80000000000001</v>
      </c>
      <c r="J256" s="85">
        <v>170.7</v>
      </c>
      <c r="K256" s="85">
        <v>141.1</v>
      </c>
      <c r="L256" s="85">
        <v>113.6</v>
      </c>
      <c r="M256" s="85">
        <v>152</v>
      </c>
      <c r="N256" s="85">
        <v>136.5</v>
      </c>
      <c r="O256" s="85">
        <v>159.1</v>
      </c>
      <c r="P256" s="85">
        <v>150.5</v>
      </c>
      <c r="Q256" s="85">
        <v>170.1</v>
      </c>
      <c r="R256" s="85">
        <v>150.80000000000001</v>
      </c>
      <c r="S256" s="85">
        <v>141.69999999999999</v>
      </c>
      <c r="T256" s="85">
        <v>149.5</v>
      </c>
      <c r="U256" s="85">
        <v>154.80000000000001</v>
      </c>
      <c r="V256" s="85">
        <v>147.19999999999999</v>
      </c>
      <c r="W256" s="85">
        <v>146.4</v>
      </c>
      <c r="X256" s="85">
        <v>151.69999999999999</v>
      </c>
      <c r="Y256" s="85">
        <v>130.30000000000001</v>
      </c>
      <c r="Z256" s="85">
        <v>143.19999999999999</v>
      </c>
      <c r="AA256" s="85">
        <v>156.19999999999999</v>
      </c>
      <c r="AB256" s="85">
        <v>143.4</v>
      </c>
      <c r="AC256" s="85">
        <v>143.6</v>
      </c>
      <c r="AD256" s="85">
        <v>149.1</v>
      </c>
      <c r="AE256" s="85">
        <f t="shared" si="26"/>
        <v>1911.6</v>
      </c>
      <c r="AF256" s="85">
        <f t="shared" si="27"/>
        <v>170.1</v>
      </c>
      <c r="AG256" s="85">
        <f t="shared" si="28"/>
        <v>442</v>
      </c>
      <c r="AH256" s="85">
        <f t="shared" si="29"/>
        <v>448.4</v>
      </c>
      <c r="AI256" s="85">
        <f t="shared" si="30"/>
        <v>451.29999999999995</v>
      </c>
      <c r="AJ256" s="85">
        <f t="shared" si="31"/>
        <v>130.30000000000001</v>
      </c>
      <c r="AK256" s="85">
        <f t="shared" si="32"/>
        <v>143.19999999999999</v>
      </c>
      <c r="AL256" s="85">
        <f t="shared" si="33"/>
        <v>143.6</v>
      </c>
      <c r="AM256" s="86"/>
    </row>
    <row r="257" spans="1:39" x14ac:dyDescent="0.3">
      <c r="A257" s="87" t="s">
        <v>30</v>
      </c>
      <c r="B257" s="88">
        <v>2020</v>
      </c>
      <c r="C257" s="88" t="s">
        <v>36</v>
      </c>
      <c r="D257" s="88">
        <v>144.4</v>
      </c>
      <c r="E257" s="88">
        <v>166.8</v>
      </c>
      <c r="F257" s="88">
        <v>147.6</v>
      </c>
      <c r="G257" s="88">
        <v>151.69999999999999</v>
      </c>
      <c r="H257" s="88">
        <v>133.30000000000001</v>
      </c>
      <c r="I257" s="88">
        <v>141.80000000000001</v>
      </c>
      <c r="J257" s="88">
        <v>152.30000000000001</v>
      </c>
      <c r="K257" s="88">
        <v>141.80000000000001</v>
      </c>
      <c r="L257" s="88">
        <v>112.6</v>
      </c>
      <c r="M257" s="88">
        <v>154</v>
      </c>
      <c r="N257" s="88">
        <v>140.1</v>
      </c>
      <c r="O257" s="88">
        <v>160</v>
      </c>
      <c r="P257" s="88">
        <v>148.19999999999999</v>
      </c>
      <c r="Q257" s="88">
        <v>170.5</v>
      </c>
      <c r="R257" s="88">
        <v>153.4</v>
      </c>
      <c r="S257" s="88">
        <v>147.6</v>
      </c>
      <c r="T257" s="88">
        <v>152.5</v>
      </c>
      <c r="U257" s="88" t="s">
        <v>32</v>
      </c>
      <c r="V257" s="88">
        <v>153.4</v>
      </c>
      <c r="W257" s="88">
        <v>151.5</v>
      </c>
      <c r="X257" s="88">
        <v>156.69999999999999</v>
      </c>
      <c r="Y257" s="88">
        <v>135.80000000000001</v>
      </c>
      <c r="Z257" s="88">
        <v>151.19999999999999</v>
      </c>
      <c r="AA257" s="88">
        <v>161.19999999999999</v>
      </c>
      <c r="AB257" s="88">
        <v>145.1</v>
      </c>
      <c r="AC257" s="88">
        <v>148.6</v>
      </c>
      <c r="AD257" s="88">
        <v>149.80000000000001</v>
      </c>
      <c r="AE257" s="88">
        <f t="shared" si="26"/>
        <v>1894.5999999999997</v>
      </c>
      <c r="AF257" s="88">
        <f t="shared" si="27"/>
        <v>170.5</v>
      </c>
      <c r="AG257" s="88">
        <f t="shared" si="28"/>
        <v>453.5</v>
      </c>
      <c r="AH257" s="88">
        <f t="shared" si="29"/>
        <v>304.89999999999998</v>
      </c>
      <c r="AI257" s="88">
        <f t="shared" si="30"/>
        <v>463</v>
      </c>
      <c r="AJ257" s="88">
        <f t="shared" si="31"/>
        <v>135.80000000000001</v>
      </c>
      <c r="AK257" s="88">
        <f t="shared" si="32"/>
        <v>151.19999999999999</v>
      </c>
      <c r="AL257" s="88">
        <f t="shared" si="33"/>
        <v>148.6</v>
      </c>
      <c r="AM257" s="89"/>
    </row>
    <row r="258" spans="1:39" x14ac:dyDescent="0.3">
      <c r="A258" s="84" t="s">
        <v>33</v>
      </c>
      <c r="B258" s="85">
        <v>2020</v>
      </c>
      <c r="C258" s="85" t="s">
        <v>36</v>
      </c>
      <c r="D258" s="85">
        <v>146.5</v>
      </c>
      <c r="E258" s="85">
        <v>167.5</v>
      </c>
      <c r="F258" s="85">
        <v>148.9</v>
      </c>
      <c r="G258" s="85">
        <v>151.1</v>
      </c>
      <c r="H258" s="85">
        <v>127.5</v>
      </c>
      <c r="I258" s="85">
        <v>143.30000000000001</v>
      </c>
      <c r="J258" s="85">
        <v>167</v>
      </c>
      <c r="K258" s="85">
        <v>139.69999999999999</v>
      </c>
      <c r="L258" s="85">
        <v>114.4</v>
      </c>
      <c r="M258" s="85">
        <v>151.5</v>
      </c>
      <c r="N258" s="85">
        <v>131.9</v>
      </c>
      <c r="O258" s="85">
        <v>159.1</v>
      </c>
      <c r="P258" s="85">
        <v>150.1</v>
      </c>
      <c r="Q258" s="85">
        <v>173.3</v>
      </c>
      <c r="R258" s="85">
        <v>147.69999999999999</v>
      </c>
      <c r="S258" s="85">
        <v>133.80000000000001</v>
      </c>
      <c r="T258" s="85">
        <v>145.6</v>
      </c>
      <c r="U258" s="85">
        <v>154.5</v>
      </c>
      <c r="V258" s="85">
        <v>141.4</v>
      </c>
      <c r="W258" s="85">
        <v>140.80000000000001</v>
      </c>
      <c r="X258" s="85">
        <v>145</v>
      </c>
      <c r="Y258" s="85">
        <v>124.6</v>
      </c>
      <c r="Z258" s="85">
        <v>137.9</v>
      </c>
      <c r="AA258" s="85">
        <v>152.5</v>
      </c>
      <c r="AB258" s="85">
        <v>145.30000000000001</v>
      </c>
      <c r="AC258" s="85">
        <v>138.69999999999999</v>
      </c>
      <c r="AD258" s="85">
        <v>147.30000000000001</v>
      </c>
      <c r="AE258" s="85">
        <f t="shared" si="26"/>
        <v>1898.5</v>
      </c>
      <c r="AF258" s="85">
        <f t="shared" si="27"/>
        <v>173.3</v>
      </c>
      <c r="AG258" s="85">
        <f t="shared" si="28"/>
        <v>427.1</v>
      </c>
      <c r="AH258" s="85">
        <f t="shared" si="29"/>
        <v>436.7</v>
      </c>
      <c r="AI258" s="85">
        <f t="shared" si="30"/>
        <v>442.8</v>
      </c>
      <c r="AJ258" s="85">
        <f t="shared" si="31"/>
        <v>124.6</v>
      </c>
      <c r="AK258" s="85">
        <f t="shared" si="32"/>
        <v>137.9</v>
      </c>
      <c r="AL258" s="85">
        <f t="shared" si="33"/>
        <v>138.69999999999999</v>
      </c>
      <c r="AM258" s="86"/>
    </row>
    <row r="259" spans="1:39" x14ac:dyDescent="0.3">
      <c r="A259" s="87" t="s">
        <v>34</v>
      </c>
      <c r="B259" s="88">
        <v>2020</v>
      </c>
      <c r="C259" s="88" t="s">
        <v>36</v>
      </c>
      <c r="D259" s="88">
        <v>145.1</v>
      </c>
      <c r="E259" s="88">
        <v>167</v>
      </c>
      <c r="F259" s="88">
        <v>148.1</v>
      </c>
      <c r="G259" s="88">
        <v>151.5</v>
      </c>
      <c r="H259" s="88">
        <v>131.19999999999999</v>
      </c>
      <c r="I259" s="88">
        <v>142.5</v>
      </c>
      <c r="J259" s="88">
        <v>157.30000000000001</v>
      </c>
      <c r="K259" s="88">
        <v>141.1</v>
      </c>
      <c r="L259" s="88">
        <v>113.2</v>
      </c>
      <c r="M259" s="88">
        <v>153.19999999999999</v>
      </c>
      <c r="N259" s="88">
        <v>136.69999999999999</v>
      </c>
      <c r="O259" s="88">
        <v>159.6</v>
      </c>
      <c r="P259" s="88">
        <v>148.9</v>
      </c>
      <c r="Q259" s="88">
        <v>171.2</v>
      </c>
      <c r="R259" s="88">
        <v>151.19999999999999</v>
      </c>
      <c r="S259" s="88">
        <v>141.9</v>
      </c>
      <c r="T259" s="88">
        <v>149.80000000000001</v>
      </c>
      <c r="U259" s="88">
        <v>154.5</v>
      </c>
      <c r="V259" s="88">
        <v>148.9</v>
      </c>
      <c r="W259" s="88">
        <v>146.4</v>
      </c>
      <c r="X259" s="88">
        <v>152.30000000000001</v>
      </c>
      <c r="Y259" s="88">
        <v>129.9</v>
      </c>
      <c r="Z259" s="88">
        <v>143.69999999999999</v>
      </c>
      <c r="AA259" s="88">
        <v>156.1</v>
      </c>
      <c r="AB259" s="88">
        <v>145.19999999999999</v>
      </c>
      <c r="AC259" s="88">
        <v>143.80000000000001</v>
      </c>
      <c r="AD259" s="88">
        <v>148.6</v>
      </c>
      <c r="AE259" s="88">
        <f t="shared" ref="AE259:AE322" si="34">SUM(D259:P259)</f>
        <v>1895.4</v>
      </c>
      <c r="AF259" s="88">
        <f t="shared" ref="AF259:AF322" si="35">SUM(Q259)</f>
        <v>171.2</v>
      </c>
      <c r="AG259" s="88">
        <f t="shared" ref="AG259:AG322" si="36">SUM(R259:T259)</f>
        <v>442.90000000000003</v>
      </c>
      <c r="AH259" s="88">
        <f t="shared" ref="AH259:AH322" si="37">SUM(U259:W259)</f>
        <v>449.79999999999995</v>
      </c>
      <c r="AI259" s="88">
        <f t="shared" ref="AI259:AI322" si="38">SUM(X259,AA259,AB259)</f>
        <v>453.59999999999997</v>
      </c>
      <c r="AJ259" s="88">
        <f t="shared" ref="AJ259:AJ322" si="39">SUM(Y259)</f>
        <v>129.9</v>
      </c>
      <c r="AK259" s="88">
        <f t="shared" ref="AK259:AK322" si="40">SUM(Z259)</f>
        <v>143.69999999999999</v>
      </c>
      <c r="AL259" s="88">
        <f t="shared" ref="AL259:AL322" si="41">SUM(AC259)</f>
        <v>143.80000000000001</v>
      </c>
      <c r="AM259" s="89"/>
    </row>
    <row r="260" spans="1:39" x14ac:dyDescent="0.3">
      <c r="A260" s="84" t="s">
        <v>30</v>
      </c>
      <c r="B260" s="85">
        <v>2020</v>
      </c>
      <c r="C260" s="85" t="s">
        <v>37</v>
      </c>
      <c r="D260" s="85">
        <v>147.19999999999999</v>
      </c>
      <c r="E260" s="85" t="s">
        <v>32</v>
      </c>
      <c r="F260" s="85">
        <v>146.9</v>
      </c>
      <c r="G260" s="85">
        <v>155.6</v>
      </c>
      <c r="H260" s="85">
        <v>137.1</v>
      </c>
      <c r="I260" s="85">
        <v>147.30000000000001</v>
      </c>
      <c r="J260" s="85">
        <v>162.69999999999999</v>
      </c>
      <c r="K260" s="85">
        <v>150.19999999999999</v>
      </c>
      <c r="L260" s="85">
        <v>119.8</v>
      </c>
      <c r="M260" s="85">
        <v>158.69999999999999</v>
      </c>
      <c r="N260" s="85">
        <v>139.19999999999999</v>
      </c>
      <c r="O260" s="85" t="s">
        <v>32</v>
      </c>
      <c r="P260" s="85">
        <v>150.1</v>
      </c>
      <c r="Q260" s="85" t="s">
        <v>32</v>
      </c>
      <c r="R260" s="85" t="s">
        <v>32</v>
      </c>
      <c r="S260" s="85" t="s">
        <v>32</v>
      </c>
      <c r="T260" s="85" t="s">
        <v>32</v>
      </c>
      <c r="U260" s="85" t="s">
        <v>32</v>
      </c>
      <c r="V260" s="85">
        <v>148.4</v>
      </c>
      <c r="W260" s="85" t="s">
        <v>32</v>
      </c>
      <c r="X260" s="85">
        <v>154.30000000000001</v>
      </c>
      <c r="Y260" s="85" t="s">
        <v>32</v>
      </c>
      <c r="Z260" s="85" t="s">
        <v>32</v>
      </c>
      <c r="AA260" s="85" t="s">
        <v>32</v>
      </c>
      <c r="AB260" s="85" t="s">
        <v>32</v>
      </c>
      <c r="AC260" s="85" t="s">
        <v>32</v>
      </c>
      <c r="AD260" s="85" t="s">
        <v>32</v>
      </c>
      <c r="AE260" s="85">
        <f t="shared" si="34"/>
        <v>1614.8000000000002</v>
      </c>
      <c r="AF260" s="85">
        <f t="shared" si="35"/>
        <v>0</v>
      </c>
      <c r="AG260" s="85">
        <f t="shared" si="36"/>
        <v>0</v>
      </c>
      <c r="AH260" s="85">
        <f t="shared" si="37"/>
        <v>148.4</v>
      </c>
      <c r="AI260" s="85">
        <f t="shared" si="38"/>
        <v>154.30000000000001</v>
      </c>
      <c r="AJ260" s="85">
        <f t="shared" si="39"/>
        <v>0</v>
      </c>
      <c r="AK260" s="85">
        <f t="shared" si="40"/>
        <v>0</v>
      </c>
      <c r="AL260" s="85">
        <f t="shared" si="41"/>
        <v>0</v>
      </c>
      <c r="AM260" s="86"/>
    </row>
    <row r="261" spans="1:39" x14ac:dyDescent="0.3">
      <c r="A261" s="87" t="s">
        <v>33</v>
      </c>
      <c r="B261" s="88">
        <v>2020</v>
      </c>
      <c r="C261" s="88" t="s">
        <v>37</v>
      </c>
      <c r="D261" s="88">
        <v>151.80000000000001</v>
      </c>
      <c r="E261" s="88" t="s">
        <v>32</v>
      </c>
      <c r="F261" s="88">
        <v>151.9</v>
      </c>
      <c r="G261" s="88">
        <v>155.5</v>
      </c>
      <c r="H261" s="88">
        <v>131.6</v>
      </c>
      <c r="I261" s="88">
        <v>152.9</v>
      </c>
      <c r="J261" s="88">
        <v>180</v>
      </c>
      <c r="K261" s="88">
        <v>150.80000000000001</v>
      </c>
      <c r="L261" s="88">
        <v>121.2</v>
      </c>
      <c r="M261" s="88">
        <v>154</v>
      </c>
      <c r="N261" s="88">
        <v>133.5</v>
      </c>
      <c r="O261" s="88" t="s">
        <v>32</v>
      </c>
      <c r="P261" s="88">
        <v>153.5</v>
      </c>
      <c r="Q261" s="88" t="s">
        <v>32</v>
      </c>
      <c r="R261" s="88" t="s">
        <v>32</v>
      </c>
      <c r="S261" s="88" t="s">
        <v>32</v>
      </c>
      <c r="T261" s="88" t="s">
        <v>32</v>
      </c>
      <c r="U261" s="88">
        <v>155.6</v>
      </c>
      <c r="V261" s="88">
        <v>137.1</v>
      </c>
      <c r="W261" s="88" t="s">
        <v>32</v>
      </c>
      <c r="X261" s="88">
        <v>144.80000000000001</v>
      </c>
      <c r="Y261" s="88" t="s">
        <v>32</v>
      </c>
      <c r="Z261" s="88" t="s">
        <v>32</v>
      </c>
      <c r="AA261" s="88" t="s">
        <v>32</v>
      </c>
      <c r="AB261" s="88" t="s">
        <v>32</v>
      </c>
      <c r="AC261" s="88" t="s">
        <v>32</v>
      </c>
      <c r="AD261" s="88" t="s">
        <v>32</v>
      </c>
      <c r="AE261" s="88">
        <f t="shared" si="34"/>
        <v>1636.7</v>
      </c>
      <c r="AF261" s="88">
        <f t="shared" si="35"/>
        <v>0</v>
      </c>
      <c r="AG261" s="88">
        <f t="shared" si="36"/>
        <v>0</v>
      </c>
      <c r="AH261" s="88">
        <f t="shared" si="37"/>
        <v>292.7</v>
      </c>
      <c r="AI261" s="88">
        <f t="shared" si="38"/>
        <v>144.80000000000001</v>
      </c>
      <c r="AJ261" s="88">
        <f t="shared" si="39"/>
        <v>0</v>
      </c>
      <c r="AK261" s="88">
        <f t="shared" si="40"/>
        <v>0</v>
      </c>
      <c r="AL261" s="88">
        <f t="shared" si="41"/>
        <v>0</v>
      </c>
      <c r="AM261" s="89"/>
    </row>
    <row r="262" spans="1:39" x14ac:dyDescent="0.3">
      <c r="A262" s="84" t="s">
        <v>34</v>
      </c>
      <c r="B262" s="85">
        <v>2020</v>
      </c>
      <c r="C262" s="85" t="s">
        <v>37</v>
      </c>
      <c r="D262" s="85">
        <v>148.69999999999999</v>
      </c>
      <c r="E262" s="85" t="s">
        <v>32</v>
      </c>
      <c r="F262" s="85">
        <v>148.80000000000001</v>
      </c>
      <c r="G262" s="85">
        <v>155.6</v>
      </c>
      <c r="H262" s="85">
        <v>135.1</v>
      </c>
      <c r="I262" s="85">
        <v>149.9</v>
      </c>
      <c r="J262" s="85">
        <v>168.6</v>
      </c>
      <c r="K262" s="85">
        <v>150.4</v>
      </c>
      <c r="L262" s="85">
        <v>120.3</v>
      </c>
      <c r="M262" s="85">
        <v>157.1</v>
      </c>
      <c r="N262" s="85">
        <v>136.80000000000001</v>
      </c>
      <c r="O262" s="85" t="s">
        <v>32</v>
      </c>
      <c r="P262" s="85">
        <v>151.4</v>
      </c>
      <c r="Q262" s="85" t="s">
        <v>32</v>
      </c>
      <c r="R262" s="85" t="s">
        <v>32</v>
      </c>
      <c r="S262" s="85" t="s">
        <v>32</v>
      </c>
      <c r="T262" s="85" t="s">
        <v>32</v>
      </c>
      <c r="U262" s="85">
        <v>155.6</v>
      </c>
      <c r="V262" s="85">
        <v>144.1</v>
      </c>
      <c r="W262" s="85" t="s">
        <v>32</v>
      </c>
      <c r="X262" s="85">
        <v>150.69999999999999</v>
      </c>
      <c r="Y262" s="85" t="s">
        <v>32</v>
      </c>
      <c r="Z262" s="85" t="s">
        <v>32</v>
      </c>
      <c r="AA262" s="85" t="s">
        <v>32</v>
      </c>
      <c r="AB262" s="85" t="s">
        <v>32</v>
      </c>
      <c r="AC262" s="85" t="s">
        <v>32</v>
      </c>
      <c r="AD262" s="85" t="s">
        <v>32</v>
      </c>
      <c r="AE262" s="85">
        <f t="shared" si="34"/>
        <v>1622.7</v>
      </c>
      <c r="AF262" s="85">
        <f t="shared" si="35"/>
        <v>0</v>
      </c>
      <c r="AG262" s="85">
        <f t="shared" si="36"/>
        <v>0</v>
      </c>
      <c r="AH262" s="85">
        <f t="shared" si="37"/>
        <v>299.7</v>
      </c>
      <c r="AI262" s="85">
        <f t="shared" si="38"/>
        <v>150.69999999999999</v>
      </c>
      <c r="AJ262" s="85">
        <f t="shared" si="39"/>
        <v>0</v>
      </c>
      <c r="AK262" s="85">
        <f t="shared" si="40"/>
        <v>0</v>
      </c>
      <c r="AL262" s="85">
        <f t="shared" si="41"/>
        <v>0</v>
      </c>
      <c r="AM262" s="86"/>
    </row>
    <row r="263" spans="1:39" x14ac:dyDescent="0.3">
      <c r="A263" s="87" t="s">
        <v>30</v>
      </c>
      <c r="B263" s="88">
        <v>2020</v>
      </c>
      <c r="C263" s="88" t="s">
        <v>38</v>
      </c>
      <c r="D263" s="88" t="s">
        <v>32</v>
      </c>
      <c r="E263" s="88" t="s">
        <v>32</v>
      </c>
      <c r="F263" s="88" t="s">
        <v>32</v>
      </c>
      <c r="G263" s="88" t="s">
        <v>32</v>
      </c>
      <c r="H263" s="88" t="s">
        <v>32</v>
      </c>
      <c r="I263" s="88" t="s">
        <v>32</v>
      </c>
      <c r="J263" s="88" t="s">
        <v>32</v>
      </c>
      <c r="K263" s="88" t="s">
        <v>32</v>
      </c>
      <c r="L263" s="88" t="s">
        <v>32</v>
      </c>
      <c r="M263" s="88" t="s">
        <v>32</v>
      </c>
      <c r="N263" s="88" t="s">
        <v>32</v>
      </c>
      <c r="O263" s="88" t="s">
        <v>32</v>
      </c>
      <c r="P263" s="88" t="s">
        <v>32</v>
      </c>
      <c r="Q263" s="88" t="s">
        <v>32</v>
      </c>
      <c r="R263" s="88" t="s">
        <v>32</v>
      </c>
      <c r="S263" s="88" t="s">
        <v>32</v>
      </c>
      <c r="T263" s="88" t="s">
        <v>32</v>
      </c>
      <c r="U263" s="88" t="s">
        <v>32</v>
      </c>
      <c r="V263" s="88" t="s">
        <v>32</v>
      </c>
      <c r="W263" s="88" t="s">
        <v>32</v>
      </c>
      <c r="X263" s="88" t="s">
        <v>32</v>
      </c>
      <c r="Y263" s="88" t="s">
        <v>32</v>
      </c>
      <c r="Z263" s="88" t="s">
        <v>32</v>
      </c>
      <c r="AA263" s="88" t="s">
        <v>32</v>
      </c>
      <c r="AB263" s="88" t="s">
        <v>32</v>
      </c>
      <c r="AC263" s="88" t="s">
        <v>32</v>
      </c>
      <c r="AD263" s="88" t="s">
        <v>32</v>
      </c>
      <c r="AE263" s="88">
        <f t="shared" si="34"/>
        <v>0</v>
      </c>
      <c r="AF263" s="88">
        <f t="shared" si="35"/>
        <v>0</v>
      </c>
      <c r="AG263" s="88">
        <f t="shared" si="36"/>
        <v>0</v>
      </c>
      <c r="AH263" s="88">
        <f t="shared" si="37"/>
        <v>0</v>
      </c>
      <c r="AI263" s="88">
        <f t="shared" si="38"/>
        <v>0</v>
      </c>
      <c r="AJ263" s="88">
        <f t="shared" si="39"/>
        <v>0</v>
      </c>
      <c r="AK263" s="88">
        <f t="shared" si="40"/>
        <v>0</v>
      </c>
      <c r="AL263" s="88">
        <f t="shared" si="41"/>
        <v>0</v>
      </c>
      <c r="AM263" s="89"/>
    </row>
    <row r="264" spans="1:39" x14ac:dyDescent="0.3">
      <c r="A264" s="84" t="s">
        <v>33</v>
      </c>
      <c r="B264" s="85">
        <v>2020</v>
      </c>
      <c r="C264" s="85" t="s">
        <v>38</v>
      </c>
      <c r="D264" s="85" t="s">
        <v>32</v>
      </c>
      <c r="E264" s="85" t="s">
        <v>32</v>
      </c>
      <c r="F264" s="85" t="s">
        <v>32</v>
      </c>
      <c r="G264" s="85" t="s">
        <v>32</v>
      </c>
      <c r="H264" s="85" t="s">
        <v>32</v>
      </c>
      <c r="I264" s="85" t="s">
        <v>32</v>
      </c>
      <c r="J264" s="85" t="s">
        <v>32</v>
      </c>
      <c r="K264" s="85" t="s">
        <v>32</v>
      </c>
      <c r="L264" s="85" t="s">
        <v>32</v>
      </c>
      <c r="M264" s="85" t="s">
        <v>32</v>
      </c>
      <c r="N264" s="85" t="s">
        <v>32</v>
      </c>
      <c r="O264" s="85" t="s">
        <v>32</v>
      </c>
      <c r="P264" s="85" t="s">
        <v>32</v>
      </c>
      <c r="Q264" s="85" t="s">
        <v>32</v>
      </c>
      <c r="R264" s="85" t="s">
        <v>32</v>
      </c>
      <c r="S264" s="85" t="s">
        <v>32</v>
      </c>
      <c r="T264" s="85" t="s">
        <v>32</v>
      </c>
      <c r="U264" s="85" t="s">
        <v>32</v>
      </c>
      <c r="V264" s="85" t="s">
        <v>32</v>
      </c>
      <c r="W264" s="85" t="s">
        <v>32</v>
      </c>
      <c r="X264" s="85" t="s">
        <v>32</v>
      </c>
      <c r="Y264" s="85" t="s">
        <v>32</v>
      </c>
      <c r="Z264" s="85" t="s">
        <v>32</v>
      </c>
      <c r="AA264" s="85" t="s">
        <v>32</v>
      </c>
      <c r="AB264" s="85" t="s">
        <v>32</v>
      </c>
      <c r="AC264" s="85" t="s">
        <v>32</v>
      </c>
      <c r="AD264" s="85" t="s">
        <v>32</v>
      </c>
      <c r="AE264" s="85">
        <f t="shared" si="34"/>
        <v>0</v>
      </c>
      <c r="AF264" s="85">
        <f t="shared" si="35"/>
        <v>0</v>
      </c>
      <c r="AG264" s="85">
        <f t="shared" si="36"/>
        <v>0</v>
      </c>
      <c r="AH264" s="85">
        <f t="shared" si="37"/>
        <v>0</v>
      </c>
      <c r="AI264" s="85">
        <f t="shared" si="38"/>
        <v>0</v>
      </c>
      <c r="AJ264" s="85">
        <f t="shared" si="39"/>
        <v>0</v>
      </c>
      <c r="AK264" s="85">
        <f t="shared" si="40"/>
        <v>0</v>
      </c>
      <c r="AL264" s="85">
        <f t="shared" si="41"/>
        <v>0</v>
      </c>
      <c r="AM264" s="86"/>
    </row>
    <row r="265" spans="1:39" x14ac:dyDescent="0.3">
      <c r="A265" s="87" t="s">
        <v>34</v>
      </c>
      <c r="B265" s="88">
        <v>2020</v>
      </c>
      <c r="C265" s="88" t="s">
        <v>38</v>
      </c>
      <c r="D265" s="88" t="s">
        <v>32</v>
      </c>
      <c r="E265" s="88" t="s">
        <v>32</v>
      </c>
      <c r="F265" s="88" t="s">
        <v>32</v>
      </c>
      <c r="G265" s="88" t="s">
        <v>32</v>
      </c>
      <c r="H265" s="88" t="s">
        <v>32</v>
      </c>
      <c r="I265" s="88" t="s">
        <v>32</v>
      </c>
      <c r="J265" s="88" t="s">
        <v>32</v>
      </c>
      <c r="K265" s="88" t="s">
        <v>32</v>
      </c>
      <c r="L265" s="88" t="s">
        <v>32</v>
      </c>
      <c r="M265" s="88" t="s">
        <v>32</v>
      </c>
      <c r="N265" s="88" t="s">
        <v>32</v>
      </c>
      <c r="O265" s="88" t="s">
        <v>32</v>
      </c>
      <c r="P265" s="88" t="s">
        <v>32</v>
      </c>
      <c r="Q265" s="88" t="s">
        <v>32</v>
      </c>
      <c r="R265" s="88" t="s">
        <v>32</v>
      </c>
      <c r="S265" s="88" t="s">
        <v>32</v>
      </c>
      <c r="T265" s="88" t="s">
        <v>32</v>
      </c>
      <c r="U265" s="88" t="s">
        <v>32</v>
      </c>
      <c r="V265" s="88" t="s">
        <v>32</v>
      </c>
      <c r="W265" s="88" t="s">
        <v>32</v>
      </c>
      <c r="X265" s="88" t="s">
        <v>32</v>
      </c>
      <c r="Y265" s="88" t="s">
        <v>32</v>
      </c>
      <c r="Z265" s="88" t="s">
        <v>32</v>
      </c>
      <c r="AA265" s="88" t="s">
        <v>32</v>
      </c>
      <c r="AB265" s="88" t="s">
        <v>32</v>
      </c>
      <c r="AC265" s="88" t="s">
        <v>32</v>
      </c>
      <c r="AD265" s="88" t="s">
        <v>32</v>
      </c>
      <c r="AE265" s="88">
        <f t="shared" si="34"/>
        <v>0</v>
      </c>
      <c r="AF265" s="88">
        <f t="shared" si="35"/>
        <v>0</v>
      </c>
      <c r="AG265" s="88">
        <f t="shared" si="36"/>
        <v>0</v>
      </c>
      <c r="AH265" s="88">
        <f t="shared" si="37"/>
        <v>0</v>
      </c>
      <c r="AI265" s="88">
        <f t="shared" si="38"/>
        <v>0</v>
      </c>
      <c r="AJ265" s="88">
        <f t="shared" si="39"/>
        <v>0</v>
      </c>
      <c r="AK265" s="88">
        <f t="shared" si="40"/>
        <v>0</v>
      </c>
      <c r="AL265" s="88">
        <f t="shared" si="41"/>
        <v>0</v>
      </c>
      <c r="AM265" s="89"/>
    </row>
    <row r="266" spans="1:39" x14ac:dyDescent="0.3">
      <c r="A266" s="84" t="s">
        <v>30</v>
      </c>
      <c r="B266" s="85">
        <v>2020</v>
      </c>
      <c r="C266" s="85" t="s">
        <v>39</v>
      </c>
      <c r="D266" s="85">
        <v>148.19999999999999</v>
      </c>
      <c r="E266" s="85">
        <v>190.3</v>
      </c>
      <c r="F266" s="85">
        <v>149.4</v>
      </c>
      <c r="G266" s="85">
        <v>153.30000000000001</v>
      </c>
      <c r="H266" s="85">
        <v>138.19999999999999</v>
      </c>
      <c r="I266" s="85">
        <v>143.19999999999999</v>
      </c>
      <c r="J266" s="85">
        <v>148.9</v>
      </c>
      <c r="K266" s="85">
        <v>150.30000000000001</v>
      </c>
      <c r="L266" s="85">
        <v>113.2</v>
      </c>
      <c r="M266" s="85">
        <v>159.80000000000001</v>
      </c>
      <c r="N266" s="85">
        <v>142.1</v>
      </c>
      <c r="O266" s="85">
        <v>161.80000000000001</v>
      </c>
      <c r="P266" s="85">
        <v>152.30000000000001</v>
      </c>
      <c r="Q266" s="85">
        <v>182.4</v>
      </c>
      <c r="R266" s="85">
        <v>154.69999999999999</v>
      </c>
      <c r="S266" s="85">
        <v>150</v>
      </c>
      <c r="T266" s="85">
        <v>154.1</v>
      </c>
      <c r="U266" s="85" t="s">
        <v>32</v>
      </c>
      <c r="V266" s="85">
        <v>144.9</v>
      </c>
      <c r="W266" s="85">
        <v>151.69999999999999</v>
      </c>
      <c r="X266" s="85">
        <v>158.19999999999999</v>
      </c>
      <c r="Y266" s="85">
        <v>141.4</v>
      </c>
      <c r="Z266" s="85">
        <v>153.19999999999999</v>
      </c>
      <c r="AA266" s="85">
        <v>161.80000000000001</v>
      </c>
      <c r="AB266" s="85">
        <v>151.19999999999999</v>
      </c>
      <c r="AC266" s="85">
        <v>151.69999999999999</v>
      </c>
      <c r="AD266" s="85">
        <v>152.69999999999999</v>
      </c>
      <c r="AE266" s="85">
        <f t="shared" si="34"/>
        <v>1951</v>
      </c>
      <c r="AF266" s="85">
        <f t="shared" si="35"/>
        <v>182.4</v>
      </c>
      <c r="AG266" s="85">
        <f t="shared" si="36"/>
        <v>458.79999999999995</v>
      </c>
      <c r="AH266" s="85">
        <f t="shared" si="37"/>
        <v>296.60000000000002</v>
      </c>
      <c r="AI266" s="85">
        <f t="shared" si="38"/>
        <v>471.2</v>
      </c>
      <c r="AJ266" s="85">
        <f t="shared" si="39"/>
        <v>141.4</v>
      </c>
      <c r="AK266" s="85">
        <f t="shared" si="40"/>
        <v>153.19999999999999</v>
      </c>
      <c r="AL266" s="85">
        <f t="shared" si="41"/>
        <v>151.69999999999999</v>
      </c>
      <c r="AM266" s="86"/>
    </row>
    <row r="267" spans="1:39" x14ac:dyDescent="0.3">
      <c r="A267" s="87" t="s">
        <v>33</v>
      </c>
      <c r="B267" s="88">
        <v>2020</v>
      </c>
      <c r="C267" s="88" t="s">
        <v>39</v>
      </c>
      <c r="D267" s="88">
        <v>152.69999999999999</v>
      </c>
      <c r="E267" s="88">
        <v>197</v>
      </c>
      <c r="F267" s="88">
        <v>154.6</v>
      </c>
      <c r="G267" s="88">
        <v>153.4</v>
      </c>
      <c r="H267" s="88">
        <v>132.9</v>
      </c>
      <c r="I267" s="88">
        <v>151.80000000000001</v>
      </c>
      <c r="J267" s="88">
        <v>171.2</v>
      </c>
      <c r="K267" s="88">
        <v>152</v>
      </c>
      <c r="L267" s="88">
        <v>116.3</v>
      </c>
      <c r="M267" s="88">
        <v>158.80000000000001</v>
      </c>
      <c r="N267" s="88">
        <v>135.6</v>
      </c>
      <c r="O267" s="88">
        <v>161.69999999999999</v>
      </c>
      <c r="P267" s="88">
        <v>157</v>
      </c>
      <c r="Q267" s="88">
        <v>186.7</v>
      </c>
      <c r="R267" s="88">
        <v>149.1</v>
      </c>
      <c r="S267" s="88">
        <v>136.6</v>
      </c>
      <c r="T267" s="88">
        <v>147.19999999999999</v>
      </c>
      <c r="U267" s="88">
        <v>154.69999999999999</v>
      </c>
      <c r="V267" s="88">
        <v>137.1</v>
      </c>
      <c r="W267" s="88">
        <v>140.4</v>
      </c>
      <c r="X267" s="88">
        <v>148.1</v>
      </c>
      <c r="Y267" s="88">
        <v>129.30000000000001</v>
      </c>
      <c r="Z267" s="88">
        <v>144.5</v>
      </c>
      <c r="AA267" s="88">
        <v>152.5</v>
      </c>
      <c r="AB267" s="88">
        <v>152.19999999999999</v>
      </c>
      <c r="AC267" s="88">
        <v>142</v>
      </c>
      <c r="AD267" s="88">
        <v>150.80000000000001</v>
      </c>
      <c r="AE267" s="88">
        <f t="shared" si="34"/>
        <v>1994.9999999999998</v>
      </c>
      <c r="AF267" s="88">
        <f t="shared" si="35"/>
        <v>186.7</v>
      </c>
      <c r="AG267" s="88">
        <f t="shared" si="36"/>
        <v>432.9</v>
      </c>
      <c r="AH267" s="88">
        <f t="shared" si="37"/>
        <v>432.19999999999993</v>
      </c>
      <c r="AI267" s="88">
        <f t="shared" si="38"/>
        <v>452.8</v>
      </c>
      <c r="AJ267" s="88">
        <f t="shared" si="39"/>
        <v>129.30000000000001</v>
      </c>
      <c r="AK267" s="88">
        <f t="shared" si="40"/>
        <v>144.5</v>
      </c>
      <c r="AL267" s="88">
        <f t="shared" si="41"/>
        <v>142</v>
      </c>
      <c r="AM267" s="89"/>
    </row>
    <row r="268" spans="1:39" x14ac:dyDescent="0.3">
      <c r="A268" s="84" t="s">
        <v>34</v>
      </c>
      <c r="B268" s="85">
        <v>2020</v>
      </c>
      <c r="C268" s="85" t="s">
        <v>39</v>
      </c>
      <c r="D268" s="85">
        <v>149.6</v>
      </c>
      <c r="E268" s="85">
        <v>192.7</v>
      </c>
      <c r="F268" s="85">
        <v>151.4</v>
      </c>
      <c r="G268" s="85">
        <v>153.30000000000001</v>
      </c>
      <c r="H268" s="85">
        <v>136.30000000000001</v>
      </c>
      <c r="I268" s="85">
        <v>147.19999999999999</v>
      </c>
      <c r="J268" s="85">
        <v>156.5</v>
      </c>
      <c r="K268" s="85">
        <v>150.9</v>
      </c>
      <c r="L268" s="85">
        <v>114.2</v>
      </c>
      <c r="M268" s="85">
        <v>159.5</v>
      </c>
      <c r="N268" s="85">
        <v>139.4</v>
      </c>
      <c r="O268" s="85">
        <v>161.80000000000001</v>
      </c>
      <c r="P268" s="85">
        <v>154</v>
      </c>
      <c r="Q268" s="85">
        <v>183.5</v>
      </c>
      <c r="R268" s="85">
        <v>152.5</v>
      </c>
      <c r="S268" s="85">
        <v>144.4</v>
      </c>
      <c r="T268" s="85">
        <v>151.4</v>
      </c>
      <c r="U268" s="85">
        <v>154.69999999999999</v>
      </c>
      <c r="V268" s="85">
        <v>141.9</v>
      </c>
      <c r="W268" s="85">
        <v>146.4</v>
      </c>
      <c r="X268" s="85">
        <v>154.4</v>
      </c>
      <c r="Y268" s="85">
        <v>135</v>
      </c>
      <c r="Z268" s="85">
        <v>148.30000000000001</v>
      </c>
      <c r="AA268" s="85">
        <v>156.4</v>
      </c>
      <c r="AB268" s="85">
        <v>151.6</v>
      </c>
      <c r="AC268" s="85">
        <v>147</v>
      </c>
      <c r="AD268" s="85">
        <v>151.80000000000001</v>
      </c>
      <c r="AE268" s="85">
        <f t="shared" si="34"/>
        <v>1966.8000000000002</v>
      </c>
      <c r="AF268" s="85">
        <f t="shared" si="35"/>
        <v>183.5</v>
      </c>
      <c r="AG268" s="85">
        <f t="shared" si="36"/>
        <v>448.29999999999995</v>
      </c>
      <c r="AH268" s="85">
        <f t="shared" si="37"/>
        <v>443</v>
      </c>
      <c r="AI268" s="85">
        <f t="shared" si="38"/>
        <v>462.4</v>
      </c>
      <c r="AJ268" s="85">
        <f t="shared" si="39"/>
        <v>135</v>
      </c>
      <c r="AK268" s="85">
        <f t="shared" si="40"/>
        <v>148.30000000000001</v>
      </c>
      <c r="AL268" s="85">
        <f t="shared" si="41"/>
        <v>147</v>
      </c>
      <c r="AM268" s="86"/>
    </row>
    <row r="269" spans="1:39" x14ac:dyDescent="0.3">
      <c r="A269" s="87" t="s">
        <v>30</v>
      </c>
      <c r="B269" s="88">
        <v>2020</v>
      </c>
      <c r="C269" s="88" t="s">
        <v>40</v>
      </c>
      <c r="D269" s="88">
        <v>148.19999999999999</v>
      </c>
      <c r="E269" s="88">
        <v>190.3</v>
      </c>
      <c r="F269" s="88">
        <v>149.4</v>
      </c>
      <c r="G269" s="88">
        <v>153.30000000000001</v>
      </c>
      <c r="H269" s="88">
        <v>138.19999999999999</v>
      </c>
      <c r="I269" s="88">
        <v>143.19999999999999</v>
      </c>
      <c r="J269" s="88">
        <v>148.9</v>
      </c>
      <c r="K269" s="88">
        <v>150.30000000000001</v>
      </c>
      <c r="L269" s="88">
        <v>113.2</v>
      </c>
      <c r="M269" s="88">
        <v>159.80000000000001</v>
      </c>
      <c r="N269" s="88">
        <v>142.1</v>
      </c>
      <c r="O269" s="88">
        <v>161.80000000000001</v>
      </c>
      <c r="P269" s="88">
        <v>152.30000000000001</v>
      </c>
      <c r="Q269" s="88">
        <v>182.4</v>
      </c>
      <c r="R269" s="88">
        <v>154.69999999999999</v>
      </c>
      <c r="S269" s="88">
        <v>150</v>
      </c>
      <c r="T269" s="88">
        <v>154.1</v>
      </c>
      <c r="U269" s="88" t="s">
        <v>32</v>
      </c>
      <c r="V269" s="88">
        <v>144.9</v>
      </c>
      <c r="W269" s="88">
        <v>151.69999999999999</v>
      </c>
      <c r="X269" s="88">
        <v>158.19999999999999</v>
      </c>
      <c r="Y269" s="88">
        <v>141.4</v>
      </c>
      <c r="Z269" s="88">
        <v>153.19999999999999</v>
      </c>
      <c r="AA269" s="88">
        <v>161.80000000000001</v>
      </c>
      <c r="AB269" s="88">
        <v>151.19999999999999</v>
      </c>
      <c r="AC269" s="88">
        <v>151.69999999999999</v>
      </c>
      <c r="AD269" s="88">
        <v>152.69999999999999</v>
      </c>
      <c r="AE269" s="88">
        <f t="shared" si="34"/>
        <v>1951</v>
      </c>
      <c r="AF269" s="88">
        <f t="shared" si="35"/>
        <v>182.4</v>
      </c>
      <c r="AG269" s="88">
        <f t="shared" si="36"/>
        <v>458.79999999999995</v>
      </c>
      <c r="AH269" s="88">
        <f t="shared" si="37"/>
        <v>296.60000000000002</v>
      </c>
      <c r="AI269" s="88">
        <f t="shared" si="38"/>
        <v>471.2</v>
      </c>
      <c r="AJ269" s="88">
        <f t="shared" si="39"/>
        <v>141.4</v>
      </c>
      <c r="AK269" s="88">
        <f t="shared" si="40"/>
        <v>153.19999999999999</v>
      </c>
      <c r="AL269" s="88">
        <f t="shared" si="41"/>
        <v>151.69999999999999</v>
      </c>
      <c r="AM269" s="89"/>
    </row>
    <row r="270" spans="1:39" x14ac:dyDescent="0.3">
      <c r="A270" s="84" t="s">
        <v>33</v>
      </c>
      <c r="B270" s="85">
        <v>2020</v>
      </c>
      <c r="C270" s="85" t="s">
        <v>40</v>
      </c>
      <c r="D270" s="85">
        <v>152.69999999999999</v>
      </c>
      <c r="E270" s="85">
        <v>197</v>
      </c>
      <c r="F270" s="85">
        <v>154.6</v>
      </c>
      <c r="G270" s="85">
        <v>153.4</v>
      </c>
      <c r="H270" s="85">
        <v>132.9</v>
      </c>
      <c r="I270" s="85">
        <v>151.80000000000001</v>
      </c>
      <c r="J270" s="85">
        <v>171.2</v>
      </c>
      <c r="K270" s="85">
        <v>152</v>
      </c>
      <c r="L270" s="85">
        <v>116.3</v>
      </c>
      <c r="M270" s="85">
        <v>158.80000000000001</v>
      </c>
      <c r="N270" s="85">
        <v>135.6</v>
      </c>
      <c r="O270" s="85">
        <v>161.69999999999999</v>
      </c>
      <c r="P270" s="85">
        <v>157</v>
      </c>
      <c r="Q270" s="85">
        <v>186.7</v>
      </c>
      <c r="R270" s="85">
        <v>149.1</v>
      </c>
      <c r="S270" s="85">
        <v>136.6</v>
      </c>
      <c r="T270" s="85">
        <v>147.19999999999999</v>
      </c>
      <c r="U270" s="85">
        <v>154.69999999999999</v>
      </c>
      <c r="V270" s="85">
        <v>137.1</v>
      </c>
      <c r="W270" s="85">
        <v>140.4</v>
      </c>
      <c r="X270" s="85">
        <v>148.1</v>
      </c>
      <c r="Y270" s="85">
        <v>129.30000000000001</v>
      </c>
      <c r="Z270" s="85">
        <v>144.5</v>
      </c>
      <c r="AA270" s="85">
        <v>152.5</v>
      </c>
      <c r="AB270" s="85">
        <v>152.19999999999999</v>
      </c>
      <c r="AC270" s="85">
        <v>142</v>
      </c>
      <c r="AD270" s="85">
        <v>150.80000000000001</v>
      </c>
      <c r="AE270" s="85">
        <f t="shared" si="34"/>
        <v>1994.9999999999998</v>
      </c>
      <c r="AF270" s="85">
        <f t="shared" si="35"/>
        <v>186.7</v>
      </c>
      <c r="AG270" s="85">
        <f t="shared" si="36"/>
        <v>432.9</v>
      </c>
      <c r="AH270" s="85">
        <f t="shared" si="37"/>
        <v>432.19999999999993</v>
      </c>
      <c r="AI270" s="85">
        <f t="shared" si="38"/>
        <v>452.8</v>
      </c>
      <c r="AJ270" s="85">
        <f t="shared" si="39"/>
        <v>129.30000000000001</v>
      </c>
      <c r="AK270" s="85">
        <f t="shared" si="40"/>
        <v>144.5</v>
      </c>
      <c r="AL270" s="85">
        <f t="shared" si="41"/>
        <v>142</v>
      </c>
      <c r="AM270" s="86"/>
    </row>
    <row r="271" spans="1:39" x14ac:dyDescent="0.3">
      <c r="A271" s="87" t="s">
        <v>34</v>
      </c>
      <c r="B271" s="88">
        <v>2020</v>
      </c>
      <c r="C271" s="88" t="s">
        <v>40</v>
      </c>
      <c r="D271" s="88">
        <v>149.6</v>
      </c>
      <c r="E271" s="88">
        <v>192.7</v>
      </c>
      <c r="F271" s="88">
        <v>151.4</v>
      </c>
      <c r="G271" s="88">
        <v>153.30000000000001</v>
      </c>
      <c r="H271" s="88">
        <v>136.30000000000001</v>
      </c>
      <c r="I271" s="88">
        <v>147.19999999999999</v>
      </c>
      <c r="J271" s="88">
        <v>156.5</v>
      </c>
      <c r="K271" s="88">
        <v>150.9</v>
      </c>
      <c r="L271" s="88">
        <v>114.2</v>
      </c>
      <c r="M271" s="88">
        <v>159.5</v>
      </c>
      <c r="N271" s="88">
        <v>139.4</v>
      </c>
      <c r="O271" s="88">
        <v>161.80000000000001</v>
      </c>
      <c r="P271" s="88">
        <v>154</v>
      </c>
      <c r="Q271" s="88">
        <v>183.5</v>
      </c>
      <c r="R271" s="88">
        <v>152.5</v>
      </c>
      <c r="S271" s="88">
        <v>144.4</v>
      </c>
      <c r="T271" s="88">
        <v>151.4</v>
      </c>
      <c r="U271" s="88">
        <v>154.69999999999999</v>
      </c>
      <c r="V271" s="88">
        <v>141.9</v>
      </c>
      <c r="W271" s="88">
        <v>146.4</v>
      </c>
      <c r="X271" s="88">
        <v>154.4</v>
      </c>
      <c r="Y271" s="88">
        <v>135</v>
      </c>
      <c r="Z271" s="88">
        <v>148.30000000000001</v>
      </c>
      <c r="AA271" s="88">
        <v>156.4</v>
      </c>
      <c r="AB271" s="88">
        <v>151.6</v>
      </c>
      <c r="AC271" s="88">
        <v>147</v>
      </c>
      <c r="AD271" s="88">
        <v>151.80000000000001</v>
      </c>
      <c r="AE271" s="88">
        <f t="shared" si="34"/>
        <v>1966.8000000000002</v>
      </c>
      <c r="AF271" s="88">
        <f t="shared" si="35"/>
        <v>183.5</v>
      </c>
      <c r="AG271" s="88">
        <f t="shared" si="36"/>
        <v>448.29999999999995</v>
      </c>
      <c r="AH271" s="88">
        <f t="shared" si="37"/>
        <v>443</v>
      </c>
      <c r="AI271" s="88">
        <f t="shared" si="38"/>
        <v>462.4</v>
      </c>
      <c r="AJ271" s="88">
        <f t="shared" si="39"/>
        <v>135</v>
      </c>
      <c r="AK271" s="88">
        <f t="shared" si="40"/>
        <v>148.30000000000001</v>
      </c>
      <c r="AL271" s="88">
        <f t="shared" si="41"/>
        <v>147</v>
      </c>
      <c r="AM271" s="89"/>
    </row>
    <row r="272" spans="1:39" x14ac:dyDescent="0.3">
      <c r="A272" s="84" t="s">
        <v>30</v>
      </c>
      <c r="B272" s="85">
        <v>2020</v>
      </c>
      <c r="C272" s="85" t="s">
        <v>41</v>
      </c>
      <c r="D272" s="85">
        <v>147.6</v>
      </c>
      <c r="E272" s="85">
        <v>187.2</v>
      </c>
      <c r="F272" s="85">
        <v>148.4</v>
      </c>
      <c r="G272" s="85">
        <v>153.30000000000001</v>
      </c>
      <c r="H272" s="85">
        <v>139.80000000000001</v>
      </c>
      <c r="I272" s="85">
        <v>146.9</v>
      </c>
      <c r="J272" s="85">
        <v>171</v>
      </c>
      <c r="K272" s="85">
        <v>149.9</v>
      </c>
      <c r="L272" s="85">
        <v>114.2</v>
      </c>
      <c r="M272" s="85">
        <v>160</v>
      </c>
      <c r="N272" s="85">
        <v>143.5</v>
      </c>
      <c r="O272" s="85">
        <v>161.5</v>
      </c>
      <c r="P272" s="85">
        <v>155.30000000000001</v>
      </c>
      <c r="Q272" s="85">
        <v>180.9</v>
      </c>
      <c r="R272" s="85">
        <v>155.1</v>
      </c>
      <c r="S272" s="85">
        <v>149.30000000000001</v>
      </c>
      <c r="T272" s="85">
        <v>154.30000000000001</v>
      </c>
      <c r="U272" s="85" t="s">
        <v>32</v>
      </c>
      <c r="V272" s="85">
        <v>145.80000000000001</v>
      </c>
      <c r="W272" s="85">
        <v>151.9</v>
      </c>
      <c r="X272" s="85">
        <v>158.80000000000001</v>
      </c>
      <c r="Y272" s="85">
        <v>143.6</v>
      </c>
      <c r="Z272" s="85">
        <v>152.19999999999999</v>
      </c>
      <c r="AA272" s="85">
        <v>162.69999999999999</v>
      </c>
      <c r="AB272" s="85">
        <v>153.6</v>
      </c>
      <c r="AC272" s="85">
        <v>153</v>
      </c>
      <c r="AD272" s="85">
        <v>154.69999999999999</v>
      </c>
      <c r="AE272" s="85">
        <f t="shared" si="34"/>
        <v>1978.6</v>
      </c>
      <c r="AF272" s="85">
        <f t="shared" si="35"/>
        <v>180.9</v>
      </c>
      <c r="AG272" s="85">
        <f t="shared" si="36"/>
        <v>458.7</v>
      </c>
      <c r="AH272" s="85">
        <f t="shared" si="37"/>
        <v>297.70000000000005</v>
      </c>
      <c r="AI272" s="85">
        <f t="shared" si="38"/>
        <v>475.1</v>
      </c>
      <c r="AJ272" s="85">
        <f t="shared" si="39"/>
        <v>143.6</v>
      </c>
      <c r="AK272" s="85">
        <f t="shared" si="40"/>
        <v>152.19999999999999</v>
      </c>
      <c r="AL272" s="85">
        <f t="shared" si="41"/>
        <v>153</v>
      </c>
      <c r="AM272" s="86"/>
    </row>
    <row r="273" spans="1:39" x14ac:dyDescent="0.3">
      <c r="A273" s="87" t="s">
        <v>33</v>
      </c>
      <c r="B273" s="88">
        <v>2020</v>
      </c>
      <c r="C273" s="88" t="s">
        <v>41</v>
      </c>
      <c r="D273" s="88">
        <v>151.6</v>
      </c>
      <c r="E273" s="88">
        <v>197.8</v>
      </c>
      <c r="F273" s="88">
        <v>154.5</v>
      </c>
      <c r="G273" s="88">
        <v>153.4</v>
      </c>
      <c r="H273" s="88">
        <v>133.4</v>
      </c>
      <c r="I273" s="88">
        <v>154.5</v>
      </c>
      <c r="J273" s="88">
        <v>191.9</v>
      </c>
      <c r="K273" s="88">
        <v>151.30000000000001</v>
      </c>
      <c r="L273" s="88">
        <v>116.8</v>
      </c>
      <c r="M273" s="88">
        <v>160</v>
      </c>
      <c r="N273" s="88">
        <v>136.5</v>
      </c>
      <c r="O273" s="88">
        <v>163.30000000000001</v>
      </c>
      <c r="P273" s="88">
        <v>159.9</v>
      </c>
      <c r="Q273" s="88">
        <v>187.2</v>
      </c>
      <c r="R273" s="88">
        <v>150</v>
      </c>
      <c r="S273" s="88">
        <v>135.19999999999999</v>
      </c>
      <c r="T273" s="88">
        <v>147.80000000000001</v>
      </c>
      <c r="U273" s="88">
        <v>155.5</v>
      </c>
      <c r="V273" s="88">
        <v>138.30000000000001</v>
      </c>
      <c r="W273" s="88">
        <v>144.5</v>
      </c>
      <c r="X273" s="88">
        <v>148.69999999999999</v>
      </c>
      <c r="Y273" s="88">
        <v>133.9</v>
      </c>
      <c r="Z273" s="88">
        <v>141.19999999999999</v>
      </c>
      <c r="AA273" s="88">
        <v>155.5</v>
      </c>
      <c r="AB273" s="88">
        <v>155.19999999999999</v>
      </c>
      <c r="AC273" s="88">
        <v>144.80000000000001</v>
      </c>
      <c r="AD273" s="88">
        <v>152.9</v>
      </c>
      <c r="AE273" s="88">
        <f t="shared" si="34"/>
        <v>2024.8999999999999</v>
      </c>
      <c r="AF273" s="88">
        <f t="shared" si="35"/>
        <v>187.2</v>
      </c>
      <c r="AG273" s="88">
        <f t="shared" si="36"/>
        <v>433</v>
      </c>
      <c r="AH273" s="88">
        <f t="shared" si="37"/>
        <v>438.3</v>
      </c>
      <c r="AI273" s="88">
        <f t="shared" si="38"/>
        <v>459.4</v>
      </c>
      <c r="AJ273" s="88">
        <f t="shared" si="39"/>
        <v>133.9</v>
      </c>
      <c r="AK273" s="88">
        <f t="shared" si="40"/>
        <v>141.19999999999999</v>
      </c>
      <c r="AL273" s="88">
        <f t="shared" si="41"/>
        <v>144.80000000000001</v>
      </c>
      <c r="AM273" s="89"/>
    </row>
    <row r="274" spans="1:39" x14ac:dyDescent="0.3">
      <c r="A274" s="84" t="s">
        <v>34</v>
      </c>
      <c r="B274" s="85">
        <v>2020</v>
      </c>
      <c r="C274" s="85" t="s">
        <v>41</v>
      </c>
      <c r="D274" s="85">
        <v>148.9</v>
      </c>
      <c r="E274" s="85">
        <v>190.9</v>
      </c>
      <c r="F274" s="85">
        <v>150.80000000000001</v>
      </c>
      <c r="G274" s="85">
        <v>153.30000000000001</v>
      </c>
      <c r="H274" s="85">
        <v>137.4</v>
      </c>
      <c r="I274" s="85">
        <v>150.4</v>
      </c>
      <c r="J274" s="85">
        <v>178.1</v>
      </c>
      <c r="K274" s="85">
        <v>150.4</v>
      </c>
      <c r="L274" s="85">
        <v>115.1</v>
      </c>
      <c r="M274" s="85">
        <v>160</v>
      </c>
      <c r="N274" s="85">
        <v>140.6</v>
      </c>
      <c r="O274" s="85">
        <v>162.30000000000001</v>
      </c>
      <c r="P274" s="85">
        <v>157</v>
      </c>
      <c r="Q274" s="85">
        <v>182.6</v>
      </c>
      <c r="R274" s="85">
        <v>153.1</v>
      </c>
      <c r="S274" s="85">
        <v>143.4</v>
      </c>
      <c r="T274" s="85">
        <v>151.69999999999999</v>
      </c>
      <c r="U274" s="85">
        <v>155.5</v>
      </c>
      <c r="V274" s="85">
        <v>143</v>
      </c>
      <c r="W274" s="85">
        <v>148.4</v>
      </c>
      <c r="X274" s="85">
        <v>155</v>
      </c>
      <c r="Y274" s="85">
        <v>138.5</v>
      </c>
      <c r="Z274" s="85">
        <v>146</v>
      </c>
      <c r="AA274" s="85">
        <v>158.5</v>
      </c>
      <c r="AB274" s="85">
        <v>154.30000000000001</v>
      </c>
      <c r="AC274" s="85">
        <v>149</v>
      </c>
      <c r="AD274" s="85">
        <v>153.9</v>
      </c>
      <c r="AE274" s="85">
        <f t="shared" si="34"/>
        <v>1995.1999999999998</v>
      </c>
      <c r="AF274" s="85">
        <f t="shared" si="35"/>
        <v>182.6</v>
      </c>
      <c r="AG274" s="85">
        <f t="shared" si="36"/>
        <v>448.2</v>
      </c>
      <c r="AH274" s="85">
        <f t="shared" si="37"/>
        <v>446.9</v>
      </c>
      <c r="AI274" s="85">
        <f t="shared" si="38"/>
        <v>467.8</v>
      </c>
      <c r="AJ274" s="85">
        <f t="shared" si="39"/>
        <v>138.5</v>
      </c>
      <c r="AK274" s="85">
        <f t="shared" si="40"/>
        <v>146</v>
      </c>
      <c r="AL274" s="85">
        <f t="shared" si="41"/>
        <v>149</v>
      </c>
      <c r="AM274" s="86"/>
    </row>
    <row r="275" spans="1:39" x14ac:dyDescent="0.3">
      <c r="A275" s="87" t="s">
        <v>30</v>
      </c>
      <c r="B275" s="88">
        <v>2020</v>
      </c>
      <c r="C275" s="88" t="s">
        <v>42</v>
      </c>
      <c r="D275" s="88">
        <v>146.9</v>
      </c>
      <c r="E275" s="88">
        <v>183.9</v>
      </c>
      <c r="F275" s="88">
        <v>149.5</v>
      </c>
      <c r="G275" s="88">
        <v>153.4</v>
      </c>
      <c r="H275" s="88">
        <v>140.4</v>
      </c>
      <c r="I275" s="88">
        <v>147</v>
      </c>
      <c r="J275" s="88">
        <v>178.8</v>
      </c>
      <c r="K275" s="88">
        <v>149.30000000000001</v>
      </c>
      <c r="L275" s="88">
        <v>115.1</v>
      </c>
      <c r="M275" s="88">
        <v>160</v>
      </c>
      <c r="N275" s="88">
        <v>145.4</v>
      </c>
      <c r="O275" s="88">
        <v>161.6</v>
      </c>
      <c r="P275" s="88">
        <v>156.1</v>
      </c>
      <c r="Q275" s="88">
        <v>182.9</v>
      </c>
      <c r="R275" s="88">
        <v>155.4</v>
      </c>
      <c r="S275" s="88">
        <v>149.9</v>
      </c>
      <c r="T275" s="88">
        <v>154.6</v>
      </c>
      <c r="U275" s="88" t="s">
        <v>32</v>
      </c>
      <c r="V275" s="88">
        <v>146.4</v>
      </c>
      <c r="W275" s="88">
        <v>151.6</v>
      </c>
      <c r="X275" s="88">
        <v>159.1</v>
      </c>
      <c r="Y275" s="88">
        <v>144.6</v>
      </c>
      <c r="Z275" s="88">
        <v>152.80000000000001</v>
      </c>
      <c r="AA275" s="88">
        <v>161.1</v>
      </c>
      <c r="AB275" s="88">
        <v>157.4</v>
      </c>
      <c r="AC275" s="88">
        <v>153.69999999999999</v>
      </c>
      <c r="AD275" s="88">
        <v>155.4</v>
      </c>
      <c r="AE275" s="88">
        <f t="shared" si="34"/>
        <v>1987.3999999999999</v>
      </c>
      <c r="AF275" s="88">
        <f t="shared" si="35"/>
        <v>182.9</v>
      </c>
      <c r="AG275" s="88">
        <f t="shared" si="36"/>
        <v>459.9</v>
      </c>
      <c r="AH275" s="88">
        <f t="shared" si="37"/>
        <v>298</v>
      </c>
      <c r="AI275" s="88">
        <f t="shared" si="38"/>
        <v>477.6</v>
      </c>
      <c r="AJ275" s="88">
        <f t="shared" si="39"/>
        <v>144.6</v>
      </c>
      <c r="AK275" s="88">
        <f t="shared" si="40"/>
        <v>152.80000000000001</v>
      </c>
      <c r="AL275" s="88">
        <f t="shared" si="41"/>
        <v>153.69999999999999</v>
      </c>
      <c r="AM275" s="89"/>
    </row>
    <row r="276" spans="1:39" x14ac:dyDescent="0.3">
      <c r="A276" s="84" t="s">
        <v>33</v>
      </c>
      <c r="B276" s="85">
        <v>2020</v>
      </c>
      <c r="C276" s="85" t="s">
        <v>42</v>
      </c>
      <c r="D276" s="85">
        <v>151.5</v>
      </c>
      <c r="E276" s="85">
        <v>193.1</v>
      </c>
      <c r="F276" s="85">
        <v>157.30000000000001</v>
      </c>
      <c r="G276" s="85">
        <v>153.9</v>
      </c>
      <c r="H276" s="85">
        <v>134.4</v>
      </c>
      <c r="I276" s="85">
        <v>155.4</v>
      </c>
      <c r="J276" s="85">
        <v>202</v>
      </c>
      <c r="K276" s="85">
        <v>150.80000000000001</v>
      </c>
      <c r="L276" s="85">
        <v>118.9</v>
      </c>
      <c r="M276" s="85">
        <v>160.9</v>
      </c>
      <c r="N276" s="85">
        <v>137.69999999999999</v>
      </c>
      <c r="O276" s="85">
        <v>164.4</v>
      </c>
      <c r="P276" s="85">
        <v>161.30000000000001</v>
      </c>
      <c r="Q276" s="85">
        <v>188.7</v>
      </c>
      <c r="R276" s="85">
        <v>150.19999999999999</v>
      </c>
      <c r="S276" s="85">
        <v>136.30000000000001</v>
      </c>
      <c r="T276" s="85">
        <v>148.1</v>
      </c>
      <c r="U276" s="85">
        <v>156.30000000000001</v>
      </c>
      <c r="V276" s="85">
        <v>137.19999999999999</v>
      </c>
      <c r="W276" s="85">
        <v>145.4</v>
      </c>
      <c r="X276" s="85">
        <v>150</v>
      </c>
      <c r="Y276" s="85">
        <v>135.1</v>
      </c>
      <c r="Z276" s="85">
        <v>141.80000000000001</v>
      </c>
      <c r="AA276" s="85">
        <v>154.9</v>
      </c>
      <c r="AB276" s="85">
        <v>159.80000000000001</v>
      </c>
      <c r="AC276" s="85">
        <v>146</v>
      </c>
      <c r="AD276" s="85">
        <v>154</v>
      </c>
      <c r="AE276" s="85">
        <f t="shared" si="34"/>
        <v>2041.6000000000001</v>
      </c>
      <c r="AF276" s="85">
        <f t="shared" si="35"/>
        <v>188.7</v>
      </c>
      <c r="AG276" s="85">
        <f t="shared" si="36"/>
        <v>434.6</v>
      </c>
      <c r="AH276" s="85">
        <f t="shared" si="37"/>
        <v>438.9</v>
      </c>
      <c r="AI276" s="85">
        <f t="shared" si="38"/>
        <v>464.7</v>
      </c>
      <c r="AJ276" s="85">
        <f t="shared" si="39"/>
        <v>135.1</v>
      </c>
      <c r="AK276" s="85">
        <f t="shared" si="40"/>
        <v>141.80000000000001</v>
      </c>
      <c r="AL276" s="85">
        <f t="shared" si="41"/>
        <v>146</v>
      </c>
      <c r="AM276" s="86"/>
    </row>
    <row r="277" spans="1:39" x14ac:dyDescent="0.3">
      <c r="A277" s="87" t="s">
        <v>34</v>
      </c>
      <c r="B277" s="88">
        <v>2020</v>
      </c>
      <c r="C277" s="88" t="s">
        <v>42</v>
      </c>
      <c r="D277" s="88">
        <v>148.4</v>
      </c>
      <c r="E277" s="88">
        <v>187.1</v>
      </c>
      <c r="F277" s="88">
        <v>152.5</v>
      </c>
      <c r="G277" s="88">
        <v>153.6</v>
      </c>
      <c r="H277" s="88">
        <v>138.19999999999999</v>
      </c>
      <c r="I277" s="88">
        <v>150.9</v>
      </c>
      <c r="J277" s="88">
        <v>186.7</v>
      </c>
      <c r="K277" s="88">
        <v>149.80000000000001</v>
      </c>
      <c r="L277" s="88">
        <v>116.4</v>
      </c>
      <c r="M277" s="88">
        <v>160.30000000000001</v>
      </c>
      <c r="N277" s="88">
        <v>142.19999999999999</v>
      </c>
      <c r="O277" s="88">
        <v>162.9</v>
      </c>
      <c r="P277" s="88">
        <v>158</v>
      </c>
      <c r="Q277" s="88">
        <v>184.4</v>
      </c>
      <c r="R277" s="88">
        <v>153.4</v>
      </c>
      <c r="S277" s="88">
        <v>144.30000000000001</v>
      </c>
      <c r="T277" s="88">
        <v>152</v>
      </c>
      <c r="U277" s="88">
        <v>156.30000000000001</v>
      </c>
      <c r="V277" s="88">
        <v>142.9</v>
      </c>
      <c r="W277" s="88">
        <v>148.69999999999999</v>
      </c>
      <c r="X277" s="88">
        <v>155.6</v>
      </c>
      <c r="Y277" s="88">
        <v>139.6</v>
      </c>
      <c r="Z277" s="88">
        <v>146.6</v>
      </c>
      <c r="AA277" s="88">
        <v>157.5</v>
      </c>
      <c r="AB277" s="88">
        <v>158.4</v>
      </c>
      <c r="AC277" s="88">
        <v>150</v>
      </c>
      <c r="AD277" s="88">
        <v>154.69999999999999</v>
      </c>
      <c r="AE277" s="88">
        <f t="shared" si="34"/>
        <v>2007</v>
      </c>
      <c r="AF277" s="88">
        <f t="shared" si="35"/>
        <v>184.4</v>
      </c>
      <c r="AG277" s="88">
        <f t="shared" si="36"/>
        <v>449.70000000000005</v>
      </c>
      <c r="AH277" s="88">
        <f t="shared" si="37"/>
        <v>447.90000000000003</v>
      </c>
      <c r="AI277" s="88">
        <f t="shared" si="38"/>
        <v>471.5</v>
      </c>
      <c r="AJ277" s="88">
        <f t="shared" si="39"/>
        <v>139.6</v>
      </c>
      <c r="AK277" s="88">
        <f t="shared" si="40"/>
        <v>146.6</v>
      </c>
      <c r="AL277" s="88">
        <f t="shared" si="41"/>
        <v>150</v>
      </c>
      <c r="AM277" s="89"/>
    </row>
    <row r="278" spans="1:39" x14ac:dyDescent="0.3">
      <c r="A278" s="84" t="s">
        <v>30</v>
      </c>
      <c r="B278" s="85">
        <v>2020</v>
      </c>
      <c r="C278" s="85" t="s">
        <v>43</v>
      </c>
      <c r="D278" s="85">
        <v>146</v>
      </c>
      <c r="E278" s="85">
        <v>186.3</v>
      </c>
      <c r="F278" s="85">
        <v>159.19999999999999</v>
      </c>
      <c r="G278" s="85">
        <v>153.6</v>
      </c>
      <c r="H278" s="85">
        <v>142.6</v>
      </c>
      <c r="I278" s="85">
        <v>147.19999999999999</v>
      </c>
      <c r="J278" s="85">
        <v>200.6</v>
      </c>
      <c r="K278" s="85">
        <v>150.30000000000001</v>
      </c>
      <c r="L278" s="85">
        <v>115.3</v>
      </c>
      <c r="M278" s="85">
        <v>160.9</v>
      </c>
      <c r="N278" s="85">
        <v>147.4</v>
      </c>
      <c r="O278" s="85">
        <v>161.9</v>
      </c>
      <c r="P278" s="85">
        <v>159.6</v>
      </c>
      <c r="Q278" s="85">
        <v>182.7</v>
      </c>
      <c r="R278" s="85">
        <v>155.69999999999999</v>
      </c>
      <c r="S278" s="85">
        <v>150.6</v>
      </c>
      <c r="T278" s="85">
        <v>155</v>
      </c>
      <c r="U278" s="85" t="s">
        <v>32</v>
      </c>
      <c r="V278" s="85">
        <v>146.80000000000001</v>
      </c>
      <c r="W278" s="85">
        <v>152</v>
      </c>
      <c r="X278" s="85">
        <v>159.5</v>
      </c>
      <c r="Y278" s="85">
        <v>146.4</v>
      </c>
      <c r="Z278" s="85">
        <v>152.4</v>
      </c>
      <c r="AA278" s="85">
        <v>162.5</v>
      </c>
      <c r="AB278" s="85">
        <v>156.19999999999999</v>
      </c>
      <c r="AC278" s="85">
        <v>154.30000000000001</v>
      </c>
      <c r="AD278" s="85">
        <v>157.5</v>
      </c>
      <c r="AE278" s="85">
        <f t="shared" si="34"/>
        <v>2030.9</v>
      </c>
      <c r="AF278" s="85">
        <f t="shared" si="35"/>
        <v>182.7</v>
      </c>
      <c r="AG278" s="85">
        <f t="shared" si="36"/>
        <v>461.29999999999995</v>
      </c>
      <c r="AH278" s="85">
        <f t="shared" si="37"/>
        <v>298.8</v>
      </c>
      <c r="AI278" s="85">
        <f t="shared" si="38"/>
        <v>478.2</v>
      </c>
      <c r="AJ278" s="85">
        <f t="shared" si="39"/>
        <v>146.4</v>
      </c>
      <c r="AK278" s="85">
        <f t="shared" si="40"/>
        <v>152.4</v>
      </c>
      <c r="AL278" s="85">
        <f t="shared" si="41"/>
        <v>154.30000000000001</v>
      </c>
      <c r="AM278" s="86"/>
    </row>
    <row r="279" spans="1:39" x14ac:dyDescent="0.3">
      <c r="A279" s="87" t="s">
        <v>33</v>
      </c>
      <c r="B279" s="88">
        <v>2020</v>
      </c>
      <c r="C279" s="88" t="s">
        <v>43</v>
      </c>
      <c r="D279" s="88">
        <v>150.6</v>
      </c>
      <c r="E279" s="88">
        <v>193.7</v>
      </c>
      <c r="F279" s="88">
        <v>164.8</v>
      </c>
      <c r="G279" s="88">
        <v>153.69999999999999</v>
      </c>
      <c r="H279" s="88">
        <v>135.69999999999999</v>
      </c>
      <c r="I279" s="88">
        <v>155.69999999999999</v>
      </c>
      <c r="J279" s="88">
        <v>226</v>
      </c>
      <c r="K279" s="88">
        <v>152.19999999999999</v>
      </c>
      <c r="L279" s="88">
        <v>118.1</v>
      </c>
      <c r="M279" s="88">
        <v>161.30000000000001</v>
      </c>
      <c r="N279" s="88">
        <v>139.19999999999999</v>
      </c>
      <c r="O279" s="88">
        <v>164.8</v>
      </c>
      <c r="P279" s="88">
        <v>164.4</v>
      </c>
      <c r="Q279" s="88">
        <v>188.7</v>
      </c>
      <c r="R279" s="88">
        <v>150.5</v>
      </c>
      <c r="S279" s="88">
        <v>136.1</v>
      </c>
      <c r="T279" s="88">
        <v>148.30000000000001</v>
      </c>
      <c r="U279" s="88">
        <v>156.5</v>
      </c>
      <c r="V279" s="88">
        <v>137.1</v>
      </c>
      <c r="W279" s="88">
        <v>145.1</v>
      </c>
      <c r="X279" s="88">
        <v>151</v>
      </c>
      <c r="Y279" s="88">
        <v>135.4</v>
      </c>
      <c r="Z279" s="88">
        <v>142</v>
      </c>
      <c r="AA279" s="88">
        <v>155.69999999999999</v>
      </c>
      <c r="AB279" s="88">
        <v>158.1</v>
      </c>
      <c r="AC279" s="88">
        <v>146.19999999999999</v>
      </c>
      <c r="AD279" s="88">
        <v>155.19999999999999</v>
      </c>
      <c r="AE279" s="88">
        <f t="shared" si="34"/>
        <v>2080.1999999999998</v>
      </c>
      <c r="AF279" s="88">
        <f t="shared" si="35"/>
        <v>188.7</v>
      </c>
      <c r="AG279" s="88">
        <f t="shared" si="36"/>
        <v>434.90000000000003</v>
      </c>
      <c r="AH279" s="88">
        <f t="shared" si="37"/>
        <v>438.70000000000005</v>
      </c>
      <c r="AI279" s="88">
        <f t="shared" si="38"/>
        <v>464.79999999999995</v>
      </c>
      <c r="AJ279" s="88">
        <f t="shared" si="39"/>
        <v>135.4</v>
      </c>
      <c r="AK279" s="88">
        <f t="shared" si="40"/>
        <v>142</v>
      </c>
      <c r="AL279" s="88">
        <f t="shared" si="41"/>
        <v>146.19999999999999</v>
      </c>
      <c r="AM279" s="89"/>
    </row>
    <row r="280" spans="1:39" x14ac:dyDescent="0.3">
      <c r="A280" s="84" t="s">
        <v>34</v>
      </c>
      <c r="B280" s="85">
        <v>2020</v>
      </c>
      <c r="C280" s="85" t="s">
        <v>43</v>
      </c>
      <c r="D280" s="85">
        <v>147.5</v>
      </c>
      <c r="E280" s="85">
        <v>188.9</v>
      </c>
      <c r="F280" s="85">
        <v>161.4</v>
      </c>
      <c r="G280" s="85">
        <v>153.6</v>
      </c>
      <c r="H280" s="85">
        <v>140.1</v>
      </c>
      <c r="I280" s="85">
        <v>151.19999999999999</v>
      </c>
      <c r="J280" s="85">
        <v>209.2</v>
      </c>
      <c r="K280" s="85">
        <v>150.9</v>
      </c>
      <c r="L280" s="85">
        <v>116.2</v>
      </c>
      <c r="M280" s="85">
        <v>161</v>
      </c>
      <c r="N280" s="85">
        <v>144</v>
      </c>
      <c r="O280" s="85">
        <v>163.19999999999999</v>
      </c>
      <c r="P280" s="85">
        <v>161.4</v>
      </c>
      <c r="Q280" s="85">
        <v>184.3</v>
      </c>
      <c r="R280" s="85">
        <v>153.69999999999999</v>
      </c>
      <c r="S280" s="85">
        <v>144.6</v>
      </c>
      <c r="T280" s="85">
        <v>152.30000000000001</v>
      </c>
      <c r="U280" s="85">
        <v>156.5</v>
      </c>
      <c r="V280" s="85">
        <v>143.1</v>
      </c>
      <c r="W280" s="85">
        <v>148.69999999999999</v>
      </c>
      <c r="X280" s="85">
        <v>156.30000000000001</v>
      </c>
      <c r="Y280" s="85">
        <v>140.6</v>
      </c>
      <c r="Z280" s="85">
        <v>146.5</v>
      </c>
      <c r="AA280" s="85">
        <v>158.5</v>
      </c>
      <c r="AB280" s="85">
        <v>157</v>
      </c>
      <c r="AC280" s="85">
        <v>150.4</v>
      </c>
      <c r="AD280" s="85">
        <v>156.4</v>
      </c>
      <c r="AE280" s="85">
        <f t="shared" si="34"/>
        <v>2048.6000000000004</v>
      </c>
      <c r="AF280" s="85">
        <f t="shared" si="35"/>
        <v>184.3</v>
      </c>
      <c r="AG280" s="85">
        <f t="shared" si="36"/>
        <v>450.59999999999997</v>
      </c>
      <c r="AH280" s="85">
        <f t="shared" si="37"/>
        <v>448.3</v>
      </c>
      <c r="AI280" s="85">
        <f t="shared" si="38"/>
        <v>471.8</v>
      </c>
      <c r="AJ280" s="85">
        <f t="shared" si="39"/>
        <v>140.6</v>
      </c>
      <c r="AK280" s="85">
        <f t="shared" si="40"/>
        <v>146.5</v>
      </c>
      <c r="AL280" s="85">
        <f t="shared" si="41"/>
        <v>150.4</v>
      </c>
      <c r="AM280" s="86"/>
    </row>
    <row r="281" spans="1:39" x14ac:dyDescent="0.3">
      <c r="A281" s="87" t="s">
        <v>30</v>
      </c>
      <c r="B281" s="88">
        <v>2020</v>
      </c>
      <c r="C281" s="88" t="s">
        <v>45</v>
      </c>
      <c r="D281" s="88">
        <v>145.4</v>
      </c>
      <c r="E281" s="88">
        <v>188.6</v>
      </c>
      <c r="F281" s="88">
        <v>171.6</v>
      </c>
      <c r="G281" s="88">
        <v>153.80000000000001</v>
      </c>
      <c r="H281" s="88">
        <v>145.4</v>
      </c>
      <c r="I281" s="88">
        <v>146.5</v>
      </c>
      <c r="J281" s="88">
        <v>222.2</v>
      </c>
      <c r="K281" s="88">
        <v>155.9</v>
      </c>
      <c r="L281" s="88">
        <v>114.9</v>
      </c>
      <c r="M281" s="88">
        <v>162</v>
      </c>
      <c r="N281" s="88">
        <v>150</v>
      </c>
      <c r="O281" s="88">
        <v>162.69999999999999</v>
      </c>
      <c r="P281" s="88">
        <v>163.4</v>
      </c>
      <c r="Q281" s="88">
        <v>183.4</v>
      </c>
      <c r="R281" s="88">
        <v>156.30000000000001</v>
      </c>
      <c r="S281" s="88">
        <v>151</v>
      </c>
      <c r="T281" s="88">
        <v>155.5</v>
      </c>
      <c r="U281" s="88" t="s">
        <v>32</v>
      </c>
      <c r="V281" s="88">
        <v>147.5</v>
      </c>
      <c r="W281" s="88">
        <v>152.80000000000001</v>
      </c>
      <c r="X281" s="88">
        <v>160.4</v>
      </c>
      <c r="Y281" s="88">
        <v>146.1</v>
      </c>
      <c r="Z281" s="88">
        <v>153.6</v>
      </c>
      <c r="AA281" s="88">
        <v>161.6</v>
      </c>
      <c r="AB281" s="88">
        <v>156.19999999999999</v>
      </c>
      <c r="AC281" s="88">
        <v>154.5</v>
      </c>
      <c r="AD281" s="88">
        <v>159.80000000000001</v>
      </c>
      <c r="AE281" s="88">
        <f t="shared" si="34"/>
        <v>2082.4</v>
      </c>
      <c r="AF281" s="88">
        <f t="shared" si="35"/>
        <v>183.4</v>
      </c>
      <c r="AG281" s="88">
        <f t="shared" si="36"/>
        <v>462.8</v>
      </c>
      <c r="AH281" s="88">
        <f t="shared" si="37"/>
        <v>300.3</v>
      </c>
      <c r="AI281" s="88">
        <f t="shared" si="38"/>
        <v>478.2</v>
      </c>
      <c r="AJ281" s="88">
        <f t="shared" si="39"/>
        <v>146.1</v>
      </c>
      <c r="AK281" s="88">
        <f t="shared" si="40"/>
        <v>153.6</v>
      </c>
      <c r="AL281" s="88">
        <f t="shared" si="41"/>
        <v>154.5</v>
      </c>
      <c r="AM281" s="89"/>
    </row>
    <row r="282" spans="1:39" x14ac:dyDescent="0.3">
      <c r="A282" s="84" t="s">
        <v>33</v>
      </c>
      <c r="B282" s="85">
        <v>2020</v>
      </c>
      <c r="C282" s="85" t="s">
        <v>45</v>
      </c>
      <c r="D282" s="85">
        <v>149.69999999999999</v>
      </c>
      <c r="E282" s="85">
        <v>195.5</v>
      </c>
      <c r="F282" s="85">
        <v>176.9</v>
      </c>
      <c r="G282" s="85">
        <v>153.9</v>
      </c>
      <c r="H282" s="85">
        <v>138</v>
      </c>
      <c r="I282" s="85">
        <v>150.5</v>
      </c>
      <c r="J282" s="85">
        <v>245.3</v>
      </c>
      <c r="K282" s="85">
        <v>158.69999999999999</v>
      </c>
      <c r="L282" s="85">
        <v>117.2</v>
      </c>
      <c r="M282" s="85">
        <v>161.4</v>
      </c>
      <c r="N282" s="85">
        <v>141.5</v>
      </c>
      <c r="O282" s="85">
        <v>165.1</v>
      </c>
      <c r="P282" s="85">
        <v>167</v>
      </c>
      <c r="Q282" s="85">
        <v>188.8</v>
      </c>
      <c r="R282" s="85">
        <v>151.1</v>
      </c>
      <c r="S282" s="85">
        <v>136.4</v>
      </c>
      <c r="T282" s="85">
        <v>148.80000000000001</v>
      </c>
      <c r="U282" s="85">
        <v>158</v>
      </c>
      <c r="V282" s="85">
        <v>137.30000000000001</v>
      </c>
      <c r="W282" s="85">
        <v>145.1</v>
      </c>
      <c r="X282" s="85">
        <v>152</v>
      </c>
      <c r="Y282" s="85">
        <v>135.19999999999999</v>
      </c>
      <c r="Z282" s="85">
        <v>144.4</v>
      </c>
      <c r="AA282" s="85">
        <v>156.4</v>
      </c>
      <c r="AB282" s="85">
        <v>157.9</v>
      </c>
      <c r="AC282" s="85">
        <v>146.6</v>
      </c>
      <c r="AD282" s="85">
        <v>156.69999999999999</v>
      </c>
      <c r="AE282" s="85">
        <f t="shared" si="34"/>
        <v>2120.6999999999998</v>
      </c>
      <c r="AF282" s="85">
        <f t="shared" si="35"/>
        <v>188.8</v>
      </c>
      <c r="AG282" s="85">
        <f t="shared" si="36"/>
        <v>436.3</v>
      </c>
      <c r="AH282" s="85">
        <f t="shared" si="37"/>
        <v>440.4</v>
      </c>
      <c r="AI282" s="85">
        <f t="shared" si="38"/>
        <v>466.29999999999995</v>
      </c>
      <c r="AJ282" s="85">
        <f t="shared" si="39"/>
        <v>135.19999999999999</v>
      </c>
      <c r="AK282" s="85">
        <f t="shared" si="40"/>
        <v>144.4</v>
      </c>
      <c r="AL282" s="85">
        <f t="shared" si="41"/>
        <v>146.6</v>
      </c>
      <c r="AM282" s="86"/>
    </row>
    <row r="283" spans="1:39" x14ac:dyDescent="0.3">
      <c r="A283" s="87" t="s">
        <v>34</v>
      </c>
      <c r="B283" s="88">
        <v>2020</v>
      </c>
      <c r="C283" s="88" t="s">
        <v>45</v>
      </c>
      <c r="D283" s="88">
        <v>146.80000000000001</v>
      </c>
      <c r="E283" s="88">
        <v>191</v>
      </c>
      <c r="F283" s="88">
        <v>173.6</v>
      </c>
      <c r="G283" s="88">
        <v>153.80000000000001</v>
      </c>
      <c r="H283" s="88">
        <v>142.69999999999999</v>
      </c>
      <c r="I283" s="88">
        <v>148.4</v>
      </c>
      <c r="J283" s="88">
        <v>230</v>
      </c>
      <c r="K283" s="88">
        <v>156.80000000000001</v>
      </c>
      <c r="L283" s="88">
        <v>115.7</v>
      </c>
      <c r="M283" s="88">
        <v>161.80000000000001</v>
      </c>
      <c r="N283" s="88">
        <v>146.5</v>
      </c>
      <c r="O283" s="88">
        <v>163.80000000000001</v>
      </c>
      <c r="P283" s="88">
        <v>164.7</v>
      </c>
      <c r="Q283" s="88">
        <v>184.8</v>
      </c>
      <c r="R283" s="88">
        <v>154.30000000000001</v>
      </c>
      <c r="S283" s="88">
        <v>144.9</v>
      </c>
      <c r="T283" s="88">
        <v>152.80000000000001</v>
      </c>
      <c r="U283" s="88">
        <v>158</v>
      </c>
      <c r="V283" s="88">
        <v>143.6</v>
      </c>
      <c r="W283" s="88">
        <v>149.19999999999999</v>
      </c>
      <c r="X283" s="88">
        <v>157.19999999999999</v>
      </c>
      <c r="Y283" s="88">
        <v>140.4</v>
      </c>
      <c r="Z283" s="88">
        <v>148.4</v>
      </c>
      <c r="AA283" s="88">
        <v>158.6</v>
      </c>
      <c r="AB283" s="88">
        <v>156.9</v>
      </c>
      <c r="AC283" s="88">
        <v>150.69999999999999</v>
      </c>
      <c r="AD283" s="88">
        <v>158.4</v>
      </c>
      <c r="AE283" s="88">
        <f t="shared" si="34"/>
        <v>2095.6</v>
      </c>
      <c r="AF283" s="88">
        <f t="shared" si="35"/>
        <v>184.8</v>
      </c>
      <c r="AG283" s="88">
        <f t="shared" si="36"/>
        <v>452.00000000000006</v>
      </c>
      <c r="AH283" s="88">
        <f t="shared" si="37"/>
        <v>450.8</v>
      </c>
      <c r="AI283" s="88">
        <f t="shared" si="38"/>
        <v>472.69999999999993</v>
      </c>
      <c r="AJ283" s="88">
        <f t="shared" si="39"/>
        <v>140.4</v>
      </c>
      <c r="AK283" s="88">
        <f t="shared" si="40"/>
        <v>148.4</v>
      </c>
      <c r="AL283" s="88">
        <f t="shared" si="41"/>
        <v>150.69999999999999</v>
      </c>
      <c r="AM283" s="89"/>
    </row>
    <row r="284" spans="1:39" x14ac:dyDescent="0.3">
      <c r="A284" s="84" t="s">
        <v>30</v>
      </c>
      <c r="B284" s="85">
        <v>2020</v>
      </c>
      <c r="C284" s="85" t="s">
        <v>46</v>
      </c>
      <c r="D284" s="85">
        <v>144.6</v>
      </c>
      <c r="E284" s="85">
        <v>188.5</v>
      </c>
      <c r="F284" s="85">
        <v>173.4</v>
      </c>
      <c r="G284" s="85">
        <v>154</v>
      </c>
      <c r="H284" s="85">
        <v>150</v>
      </c>
      <c r="I284" s="85">
        <v>145.9</v>
      </c>
      <c r="J284" s="85">
        <v>225.2</v>
      </c>
      <c r="K284" s="85">
        <v>159.5</v>
      </c>
      <c r="L284" s="85">
        <v>114.4</v>
      </c>
      <c r="M284" s="85">
        <v>163.5</v>
      </c>
      <c r="N284" s="85">
        <v>153.4</v>
      </c>
      <c r="O284" s="85">
        <v>163.6</v>
      </c>
      <c r="P284" s="85">
        <v>164.5</v>
      </c>
      <c r="Q284" s="85">
        <v>183.6</v>
      </c>
      <c r="R284" s="85">
        <v>157</v>
      </c>
      <c r="S284" s="85">
        <v>151.6</v>
      </c>
      <c r="T284" s="85">
        <v>156.30000000000001</v>
      </c>
      <c r="U284" s="85" t="s">
        <v>32</v>
      </c>
      <c r="V284" s="85">
        <v>148.69999999999999</v>
      </c>
      <c r="W284" s="85">
        <v>153.4</v>
      </c>
      <c r="X284" s="85">
        <v>161.6</v>
      </c>
      <c r="Y284" s="85">
        <v>146.4</v>
      </c>
      <c r="Z284" s="85">
        <v>153.9</v>
      </c>
      <c r="AA284" s="85">
        <v>162.9</v>
      </c>
      <c r="AB284" s="85">
        <v>156.6</v>
      </c>
      <c r="AC284" s="85">
        <v>155.19999999999999</v>
      </c>
      <c r="AD284" s="85">
        <v>160.69999999999999</v>
      </c>
      <c r="AE284" s="85">
        <f t="shared" si="34"/>
        <v>2100.5</v>
      </c>
      <c r="AF284" s="85">
        <f t="shared" si="35"/>
        <v>183.6</v>
      </c>
      <c r="AG284" s="85">
        <f t="shared" si="36"/>
        <v>464.90000000000003</v>
      </c>
      <c r="AH284" s="85">
        <f t="shared" si="37"/>
        <v>302.10000000000002</v>
      </c>
      <c r="AI284" s="85">
        <f t="shared" si="38"/>
        <v>481.1</v>
      </c>
      <c r="AJ284" s="85">
        <f t="shared" si="39"/>
        <v>146.4</v>
      </c>
      <c r="AK284" s="85">
        <f t="shared" si="40"/>
        <v>153.9</v>
      </c>
      <c r="AL284" s="85">
        <f t="shared" si="41"/>
        <v>155.19999999999999</v>
      </c>
      <c r="AM284" s="86"/>
    </row>
    <row r="285" spans="1:39" x14ac:dyDescent="0.3">
      <c r="A285" s="87" t="s">
        <v>33</v>
      </c>
      <c r="B285" s="88">
        <v>2020</v>
      </c>
      <c r="C285" s="88" t="s">
        <v>46</v>
      </c>
      <c r="D285" s="88">
        <v>149</v>
      </c>
      <c r="E285" s="88">
        <v>195.7</v>
      </c>
      <c r="F285" s="88">
        <v>178.3</v>
      </c>
      <c r="G285" s="88">
        <v>154.19999999999999</v>
      </c>
      <c r="H285" s="88">
        <v>140.69999999999999</v>
      </c>
      <c r="I285" s="88">
        <v>149.69999999999999</v>
      </c>
      <c r="J285" s="88">
        <v>240.9</v>
      </c>
      <c r="K285" s="88">
        <v>161.5</v>
      </c>
      <c r="L285" s="88">
        <v>117.1</v>
      </c>
      <c r="M285" s="88">
        <v>161.9</v>
      </c>
      <c r="N285" s="88">
        <v>143.30000000000001</v>
      </c>
      <c r="O285" s="88">
        <v>166.1</v>
      </c>
      <c r="P285" s="88">
        <v>167</v>
      </c>
      <c r="Q285" s="88">
        <v>190.2</v>
      </c>
      <c r="R285" s="88">
        <v>151.9</v>
      </c>
      <c r="S285" s="88">
        <v>136.69999999999999</v>
      </c>
      <c r="T285" s="88">
        <v>149.6</v>
      </c>
      <c r="U285" s="88">
        <v>158.4</v>
      </c>
      <c r="V285" s="88">
        <v>137.9</v>
      </c>
      <c r="W285" s="88">
        <v>145.5</v>
      </c>
      <c r="X285" s="88">
        <v>152.9</v>
      </c>
      <c r="Y285" s="88">
        <v>135.5</v>
      </c>
      <c r="Z285" s="88">
        <v>144.30000000000001</v>
      </c>
      <c r="AA285" s="88">
        <v>156.9</v>
      </c>
      <c r="AB285" s="88">
        <v>157.9</v>
      </c>
      <c r="AC285" s="88">
        <v>146.9</v>
      </c>
      <c r="AD285" s="88">
        <v>156.9</v>
      </c>
      <c r="AE285" s="88">
        <f t="shared" si="34"/>
        <v>2125.4</v>
      </c>
      <c r="AF285" s="88">
        <f t="shared" si="35"/>
        <v>190.2</v>
      </c>
      <c r="AG285" s="88">
        <f t="shared" si="36"/>
        <v>438.20000000000005</v>
      </c>
      <c r="AH285" s="88">
        <f t="shared" si="37"/>
        <v>441.8</v>
      </c>
      <c r="AI285" s="88">
        <f t="shared" si="38"/>
        <v>467.70000000000005</v>
      </c>
      <c r="AJ285" s="88">
        <f t="shared" si="39"/>
        <v>135.5</v>
      </c>
      <c r="AK285" s="88">
        <f t="shared" si="40"/>
        <v>144.30000000000001</v>
      </c>
      <c r="AL285" s="88">
        <f t="shared" si="41"/>
        <v>146.9</v>
      </c>
      <c r="AM285" s="89"/>
    </row>
    <row r="286" spans="1:39" x14ac:dyDescent="0.3">
      <c r="A286" s="84" t="s">
        <v>34</v>
      </c>
      <c r="B286" s="85">
        <v>2020</v>
      </c>
      <c r="C286" s="85" t="s">
        <v>46</v>
      </c>
      <c r="D286" s="85">
        <v>146</v>
      </c>
      <c r="E286" s="85">
        <v>191</v>
      </c>
      <c r="F286" s="85">
        <v>175.3</v>
      </c>
      <c r="G286" s="85">
        <v>154.1</v>
      </c>
      <c r="H286" s="85">
        <v>146.6</v>
      </c>
      <c r="I286" s="85">
        <v>147.69999999999999</v>
      </c>
      <c r="J286" s="85">
        <v>230.5</v>
      </c>
      <c r="K286" s="85">
        <v>160.19999999999999</v>
      </c>
      <c r="L286" s="85">
        <v>115.3</v>
      </c>
      <c r="M286" s="85">
        <v>163</v>
      </c>
      <c r="N286" s="85">
        <v>149.19999999999999</v>
      </c>
      <c r="O286" s="85">
        <v>164.8</v>
      </c>
      <c r="P286" s="85">
        <v>165.4</v>
      </c>
      <c r="Q286" s="85">
        <v>185.4</v>
      </c>
      <c r="R286" s="85">
        <v>155</v>
      </c>
      <c r="S286" s="85">
        <v>145.4</v>
      </c>
      <c r="T286" s="85">
        <v>153.6</v>
      </c>
      <c r="U286" s="85">
        <v>158.4</v>
      </c>
      <c r="V286" s="85">
        <v>144.6</v>
      </c>
      <c r="W286" s="85">
        <v>149.69999999999999</v>
      </c>
      <c r="X286" s="85">
        <v>158.30000000000001</v>
      </c>
      <c r="Y286" s="85">
        <v>140.69999999999999</v>
      </c>
      <c r="Z286" s="85">
        <v>148.5</v>
      </c>
      <c r="AA286" s="85">
        <v>159.4</v>
      </c>
      <c r="AB286" s="85">
        <v>157.1</v>
      </c>
      <c r="AC286" s="85">
        <v>151.19999999999999</v>
      </c>
      <c r="AD286" s="85">
        <v>158.9</v>
      </c>
      <c r="AE286" s="85">
        <f t="shared" si="34"/>
        <v>2109.1</v>
      </c>
      <c r="AF286" s="85">
        <f t="shared" si="35"/>
        <v>185.4</v>
      </c>
      <c r="AG286" s="85">
        <f t="shared" si="36"/>
        <v>454</v>
      </c>
      <c r="AH286" s="85">
        <f t="shared" si="37"/>
        <v>452.7</v>
      </c>
      <c r="AI286" s="85">
        <f t="shared" si="38"/>
        <v>474.80000000000007</v>
      </c>
      <c r="AJ286" s="85">
        <f t="shared" si="39"/>
        <v>140.69999999999999</v>
      </c>
      <c r="AK286" s="85">
        <f t="shared" si="40"/>
        <v>148.5</v>
      </c>
      <c r="AL286" s="85">
        <f t="shared" si="41"/>
        <v>151.19999999999999</v>
      </c>
      <c r="AM286" s="86"/>
    </row>
    <row r="287" spans="1:39" x14ac:dyDescent="0.3">
      <c r="A287" s="87" t="s">
        <v>30</v>
      </c>
      <c r="B287" s="88">
        <v>2021</v>
      </c>
      <c r="C287" s="88" t="s">
        <v>31</v>
      </c>
      <c r="D287" s="88">
        <v>143.4</v>
      </c>
      <c r="E287" s="88">
        <v>187.5</v>
      </c>
      <c r="F287" s="88">
        <v>173.4</v>
      </c>
      <c r="G287" s="88">
        <v>154</v>
      </c>
      <c r="H287" s="88">
        <v>154.80000000000001</v>
      </c>
      <c r="I287" s="88">
        <v>147</v>
      </c>
      <c r="J287" s="88">
        <v>187.8</v>
      </c>
      <c r="K287" s="88">
        <v>159.5</v>
      </c>
      <c r="L287" s="88">
        <v>113.8</v>
      </c>
      <c r="M287" s="88">
        <v>164.5</v>
      </c>
      <c r="N287" s="88">
        <v>156.1</v>
      </c>
      <c r="O287" s="88">
        <v>164.3</v>
      </c>
      <c r="P287" s="88">
        <v>159.6</v>
      </c>
      <c r="Q287" s="88">
        <v>184.6</v>
      </c>
      <c r="R287" s="88">
        <v>157.5</v>
      </c>
      <c r="S287" s="88">
        <v>152.4</v>
      </c>
      <c r="T287" s="88">
        <v>156.80000000000001</v>
      </c>
      <c r="U287" s="88" t="s">
        <v>32</v>
      </c>
      <c r="V287" s="88">
        <v>150.9</v>
      </c>
      <c r="W287" s="88">
        <v>153.9</v>
      </c>
      <c r="X287" s="88">
        <v>162.5</v>
      </c>
      <c r="Y287" s="88">
        <v>147.5</v>
      </c>
      <c r="Z287" s="88">
        <v>155.1</v>
      </c>
      <c r="AA287" s="88">
        <v>163.5</v>
      </c>
      <c r="AB287" s="88">
        <v>156.19999999999999</v>
      </c>
      <c r="AC287" s="88">
        <v>155.9</v>
      </c>
      <c r="AD287" s="88">
        <v>158.5</v>
      </c>
      <c r="AE287" s="88">
        <f t="shared" si="34"/>
        <v>2065.6999999999998</v>
      </c>
      <c r="AF287" s="88">
        <f t="shared" si="35"/>
        <v>184.6</v>
      </c>
      <c r="AG287" s="88">
        <f t="shared" si="36"/>
        <v>466.7</v>
      </c>
      <c r="AH287" s="88">
        <f t="shared" si="37"/>
        <v>304.8</v>
      </c>
      <c r="AI287" s="88">
        <f t="shared" si="38"/>
        <v>482.2</v>
      </c>
      <c r="AJ287" s="88">
        <f t="shared" si="39"/>
        <v>147.5</v>
      </c>
      <c r="AK287" s="88">
        <f t="shared" si="40"/>
        <v>155.1</v>
      </c>
      <c r="AL287" s="88">
        <f t="shared" si="41"/>
        <v>155.9</v>
      </c>
      <c r="AM287" s="89"/>
    </row>
    <row r="288" spans="1:39" x14ac:dyDescent="0.3">
      <c r="A288" s="84" t="s">
        <v>33</v>
      </c>
      <c r="B288" s="85">
        <v>2021</v>
      </c>
      <c r="C288" s="85" t="s">
        <v>31</v>
      </c>
      <c r="D288" s="85">
        <v>148</v>
      </c>
      <c r="E288" s="85">
        <v>194.8</v>
      </c>
      <c r="F288" s="85">
        <v>178.4</v>
      </c>
      <c r="G288" s="85">
        <v>154.4</v>
      </c>
      <c r="H288" s="85">
        <v>144.1</v>
      </c>
      <c r="I288" s="85">
        <v>152.6</v>
      </c>
      <c r="J288" s="85">
        <v>206.8</v>
      </c>
      <c r="K288" s="85">
        <v>162.1</v>
      </c>
      <c r="L288" s="85">
        <v>116.3</v>
      </c>
      <c r="M288" s="85">
        <v>163</v>
      </c>
      <c r="N288" s="85">
        <v>145.9</v>
      </c>
      <c r="O288" s="85">
        <v>167.2</v>
      </c>
      <c r="P288" s="85">
        <v>163.4</v>
      </c>
      <c r="Q288" s="85">
        <v>191.8</v>
      </c>
      <c r="R288" s="85">
        <v>152.5</v>
      </c>
      <c r="S288" s="85">
        <v>137.30000000000001</v>
      </c>
      <c r="T288" s="85">
        <v>150.19999999999999</v>
      </c>
      <c r="U288" s="85">
        <v>157.69999999999999</v>
      </c>
      <c r="V288" s="85">
        <v>142.9</v>
      </c>
      <c r="W288" s="85">
        <v>145.69999999999999</v>
      </c>
      <c r="X288" s="85">
        <v>154.1</v>
      </c>
      <c r="Y288" s="85">
        <v>136.9</v>
      </c>
      <c r="Z288" s="85">
        <v>145.4</v>
      </c>
      <c r="AA288" s="85">
        <v>156.1</v>
      </c>
      <c r="AB288" s="85">
        <v>157.69999999999999</v>
      </c>
      <c r="AC288" s="85">
        <v>147.6</v>
      </c>
      <c r="AD288" s="85">
        <v>156</v>
      </c>
      <c r="AE288" s="85">
        <f t="shared" si="34"/>
        <v>2097</v>
      </c>
      <c r="AF288" s="85">
        <f t="shared" si="35"/>
        <v>191.8</v>
      </c>
      <c r="AG288" s="85">
        <f t="shared" si="36"/>
        <v>440</v>
      </c>
      <c r="AH288" s="85">
        <f t="shared" si="37"/>
        <v>446.3</v>
      </c>
      <c r="AI288" s="85">
        <f t="shared" si="38"/>
        <v>467.9</v>
      </c>
      <c r="AJ288" s="85">
        <f t="shared" si="39"/>
        <v>136.9</v>
      </c>
      <c r="AK288" s="85">
        <f t="shared" si="40"/>
        <v>145.4</v>
      </c>
      <c r="AL288" s="85">
        <f t="shared" si="41"/>
        <v>147.6</v>
      </c>
      <c r="AM288" s="86"/>
    </row>
    <row r="289" spans="1:39" x14ac:dyDescent="0.3">
      <c r="A289" s="87" t="s">
        <v>34</v>
      </c>
      <c r="B289" s="88">
        <v>2021</v>
      </c>
      <c r="C289" s="88" t="s">
        <v>31</v>
      </c>
      <c r="D289" s="88">
        <v>144.9</v>
      </c>
      <c r="E289" s="88">
        <v>190.1</v>
      </c>
      <c r="F289" s="88">
        <v>175.3</v>
      </c>
      <c r="G289" s="88">
        <v>154.1</v>
      </c>
      <c r="H289" s="88">
        <v>150.9</v>
      </c>
      <c r="I289" s="88">
        <v>149.6</v>
      </c>
      <c r="J289" s="88">
        <v>194.2</v>
      </c>
      <c r="K289" s="88">
        <v>160.4</v>
      </c>
      <c r="L289" s="88">
        <v>114.6</v>
      </c>
      <c r="M289" s="88">
        <v>164</v>
      </c>
      <c r="N289" s="88">
        <v>151.80000000000001</v>
      </c>
      <c r="O289" s="88">
        <v>165.6</v>
      </c>
      <c r="P289" s="88">
        <v>161</v>
      </c>
      <c r="Q289" s="88">
        <v>186.5</v>
      </c>
      <c r="R289" s="88">
        <v>155.5</v>
      </c>
      <c r="S289" s="88">
        <v>146.1</v>
      </c>
      <c r="T289" s="88">
        <v>154.19999999999999</v>
      </c>
      <c r="U289" s="88">
        <v>157.69999999999999</v>
      </c>
      <c r="V289" s="88">
        <v>147.9</v>
      </c>
      <c r="W289" s="88">
        <v>150</v>
      </c>
      <c r="X289" s="88">
        <v>159.30000000000001</v>
      </c>
      <c r="Y289" s="88">
        <v>141.9</v>
      </c>
      <c r="Z289" s="88">
        <v>149.6</v>
      </c>
      <c r="AA289" s="88">
        <v>159.19999999999999</v>
      </c>
      <c r="AB289" s="88">
        <v>156.80000000000001</v>
      </c>
      <c r="AC289" s="88">
        <v>151.9</v>
      </c>
      <c r="AD289" s="88">
        <v>157.30000000000001</v>
      </c>
      <c r="AE289" s="88">
        <f t="shared" si="34"/>
        <v>2076.5</v>
      </c>
      <c r="AF289" s="88">
        <f t="shared" si="35"/>
        <v>186.5</v>
      </c>
      <c r="AG289" s="88">
        <f t="shared" si="36"/>
        <v>455.8</v>
      </c>
      <c r="AH289" s="88">
        <f t="shared" si="37"/>
        <v>455.6</v>
      </c>
      <c r="AI289" s="88">
        <f t="shared" si="38"/>
        <v>475.3</v>
      </c>
      <c r="AJ289" s="88">
        <f t="shared" si="39"/>
        <v>141.9</v>
      </c>
      <c r="AK289" s="88">
        <f t="shared" si="40"/>
        <v>149.6</v>
      </c>
      <c r="AL289" s="88">
        <f t="shared" si="41"/>
        <v>151.9</v>
      </c>
      <c r="AM289" s="89"/>
    </row>
    <row r="290" spans="1:39" x14ac:dyDescent="0.3">
      <c r="A290" s="84" t="s">
        <v>30</v>
      </c>
      <c r="B290" s="85">
        <v>2021</v>
      </c>
      <c r="C290" s="85" t="s">
        <v>35</v>
      </c>
      <c r="D290" s="85">
        <v>142.80000000000001</v>
      </c>
      <c r="E290" s="85">
        <v>184</v>
      </c>
      <c r="F290" s="85">
        <v>168</v>
      </c>
      <c r="G290" s="85">
        <v>154.4</v>
      </c>
      <c r="H290" s="85">
        <v>163</v>
      </c>
      <c r="I290" s="85">
        <v>147.80000000000001</v>
      </c>
      <c r="J290" s="85">
        <v>149.69999999999999</v>
      </c>
      <c r="K290" s="85">
        <v>158.30000000000001</v>
      </c>
      <c r="L290" s="85">
        <v>111.8</v>
      </c>
      <c r="M290" s="85">
        <v>165</v>
      </c>
      <c r="N290" s="85">
        <v>160</v>
      </c>
      <c r="O290" s="85">
        <v>165.8</v>
      </c>
      <c r="P290" s="85">
        <v>154.69999999999999</v>
      </c>
      <c r="Q290" s="85">
        <v>186.5</v>
      </c>
      <c r="R290" s="85">
        <v>159.1</v>
      </c>
      <c r="S290" s="85">
        <v>153.9</v>
      </c>
      <c r="T290" s="85">
        <v>158.4</v>
      </c>
      <c r="U290" s="85" t="s">
        <v>32</v>
      </c>
      <c r="V290" s="85">
        <v>154.4</v>
      </c>
      <c r="W290" s="85">
        <v>154.80000000000001</v>
      </c>
      <c r="X290" s="85">
        <v>164.3</v>
      </c>
      <c r="Y290" s="85">
        <v>150.19999999999999</v>
      </c>
      <c r="Z290" s="85">
        <v>157</v>
      </c>
      <c r="AA290" s="85">
        <v>163.6</v>
      </c>
      <c r="AB290" s="85">
        <v>155.19999999999999</v>
      </c>
      <c r="AC290" s="85">
        <v>157.19999999999999</v>
      </c>
      <c r="AD290" s="85">
        <v>156.69999999999999</v>
      </c>
      <c r="AE290" s="85">
        <f t="shared" si="34"/>
        <v>2025.3</v>
      </c>
      <c r="AF290" s="85">
        <f t="shared" si="35"/>
        <v>186.5</v>
      </c>
      <c r="AG290" s="85">
        <f t="shared" si="36"/>
        <v>471.4</v>
      </c>
      <c r="AH290" s="85">
        <f t="shared" si="37"/>
        <v>309.20000000000005</v>
      </c>
      <c r="AI290" s="85">
        <f t="shared" si="38"/>
        <v>483.09999999999997</v>
      </c>
      <c r="AJ290" s="85">
        <f t="shared" si="39"/>
        <v>150.19999999999999</v>
      </c>
      <c r="AK290" s="85">
        <f t="shared" si="40"/>
        <v>157</v>
      </c>
      <c r="AL290" s="85">
        <f t="shared" si="41"/>
        <v>157.19999999999999</v>
      </c>
      <c r="AM290" s="86"/>
    </row>
    <row r="291" spans="1:39" x14ac:dyDescent="0.3">
      <c r="A291" s="87" t="s">
        <v>33</v>
      </c>
      <c r="B291" s="88">
        <v>2021</v>
      </c>
      <c r="C291" s="88" t="s">
        <v>35</v>
      </c>
      <c r="D291" s="88">
        <v>147.6</v>
      </c>
      <c r="E291" s="88">
        <v>191.2</v>
      </c>
      <c r="F291" s="88">
        <v>169.9</v>
      </c>
      <c r="G291" s="88">
        <v>155.1</v>
      </c>
      <c r="H291" s="88">
        <v>151.4</v>
      </c>
      <c r="I291" s="88">
        <v>154</v>
      </c>
      <c r="J291" s="88">
        <v>180.2</v>
      </c>
      <c r="K291" s="88">
        <v>159.80000000000001</v>
      </c>
      <c r="L291" s="88">
        <v>114.9</v>
      </c>
      <c r="M291" s="88">
        <v>162.5</v>
      </c>
      <c r="N291" s="88">
        <v>149.19999999999999</v>
      </c>
      <c r="O291" s="88">
        <v>169.4</v>
      </c>
      <c r="P291" s="88">
        <v>160.80000000000001</v>
      </c>
      <c r="Q291" s="88">
        <v>193.3</v>
      </c>
      <c r="R291" s="88">
        <v>154.19999999999999</v>
      </c>
      <c r="S291" s="88">
        <v>138.19999999999999</v>
      </c>
      <c r="T291" s="88">
        <v>151.80000000000001</v>
      </c>
      <c r="U291" s="88">
        <v>159.80000000000001</v>
      </c>
      <c r="V291" s="88">
        <v>149.1</v>
      </c>
      <c r="W291" s="88">
        <v>146.5</v>
      </c>
      <c r="X291" s="88">
        <v>156.30000000000001</v>
      </c>
      <c r="Y291" s="88">
        <v>140.5</v>
      </c>
      <c r="Z291" s="88">
        <v>147.30000000000001</v>
      </c>
      <c r="AA291" s="88">
        <v>156.6</v>
      </c>
      <c r="AB291" s="88">
        <v>156.69999999999999</v>
      </c>
      <c r="AC291" s="88">
        <v>149.30000000000001</v>
      </c>
      <c r="AD291" s="88">
        <v>156.5</v>
      </c>
      <c r="AE291" s="88">
        <f t="shared" si="34"/>
        <v>2066</v>
      </c>
      <c r="AF291" s="88">
        <f t="shared" si="35"/>
        <v>193.3</v>
      </c>
      <c r="AG291" s="88">
        <f t="shared" si="36"/>
        <v>444.2</v>
      </c>
      <c r="AH291" s="88">
        <f t="shared" si="37"/>
        <v>455.4</v>
      </c>
      <c r="AI291" s="88">
        <f t="shared" si="38"/>
        <v>469.59999999999997</v>
      </c>
      <c r="AJ291" s="88">
        <f t="shared" si="39"/>
        <v>140.5</v>
      </c>
      <c r="AK291" s="88">
        <f t="shared" si="40"/>
        <v>147.30000000000001</v>
      </c>
      <c r="AL291" s="88">
        <f t="shared" si="41"/>
        <v>149.30000000000001</v>
      </c>
      <c r="AM291" s="89"/>
    </row>
    <row r="292" spans="1:39" x14ac:dyDescent="0.3">
      <c r="A292" s="84" t="s">
        <v>34</v>
      </c>
      <c r="B292" s="85">
        <v>2021</v>
      </c>
      <c r="C292" s="85" t="s">
        <v>35</v>
      </c>
      <c r="D292" s="85">
        <v>144.30000000000001</v>
      </c>
      <c r="E292" s="85">
        <v>186.5</v>
      </c>
      <c r="F292" s="85">
        <v>168.7</v>
      </c>
      <c r="G292" s="85">
        <v>154.69999999999999</v>
      </c>
      <c r="H292" s="85">
        <v>158.69999999999999</v>
      </c>
      <c r="I292" s="85">
        <v>150.69999999999999</v>
      </c>
      <c r="J292" s="85">
        <v>160</v>
      </c>
      <c r="K292" s="85">
        <v>158.80000000000001</v>
      </c>
      <c r="L292" s="85">
        <v>112.8</v>
      </c>
      <c r="M292" s="85">
        <v>164.2</v>
      </c>
      <c r="N292" s="85">
        <v>155.5</v>
      </c>
      <c r="O292" s="85">
        <v>167.5</v>
      </c>
      <c r="P292" s="85">
        <v>156.9</v>
      </c>
      <c r="Q292" s="85">
        <v>188.3</v>
      </c>
      <c r="R292" s="85">
        <v>157.19999999999999</v>
      </c>
      <c r="S292" s="85">
        <v>147.4</v>
      </c>
      <c r="T292" s="85">
        <v>155.80000000000001</v>
      </c>
      <c r="U292" s="85">
        <v>159.80000000000001</v>
      </c>
      <c r="V292" s="85">
        <v>152.4</v>
      </c>
      <c r="W292" s="85">
        <v>150.9</v>
      </c>
      <c r="X292" s="85">
        <v>161.30000000000001</v>
      </c>
      <c r="Y292" s="85">
        <v>145.1</v>
      </c>
      <c r="Z292" s="85">
        <v>151.5</v>
      </c>
      <c r="AA292" s="85">
        <v>159.5</v>
      </c>
      <c r="AB292" s="85">
        <v>155.80000000000001</v>
      </c>
      <c r="AC292" s="85">
        <v>153.4</v>
      </c>
      <c r="AD292" s="85">
        <v>156.6</v>
      </c>
      <c r="AE292" s="85">
        <f t="shared" si="34"/>
        <v>2039.3000000000002</v>
      </c>
      <c r="AF292" s="85">
        <f t="shared" si="35"/>
        <v>188.3</v>
      </c>
      <c r="AG292" s="85">
        <f t="shared" si="36"/>
        <v>460.40000000000003</v>
      </c>
      <c r="AH292" s="85">
        <f t="shared" si="37"/>
        <v>463.1</v>
      </c>
      <c r="AI292" s="85">
        <f t="shared" si="38"/>
        <v>476.6</v>
      </c>
      <c r="AJ292" s="85">
        <f t="shared" si="39"/>
        <v>145.1</v>
      </c>
      <c r="AK292" s="85">
        <f t="shared" si="40"/>
        <v>151.5</v>
      </c>
      <c r="AL292" s="85">
        <f t="shared" si="41"/>
        <v>153.4</v>
      </c>
      <c r="AM292" s="86"/>
    </row>
    <row r="293" spans="1:39" x14ac:dyDescent="0.3">
      <c r="A293" s="87" t="s">
        <v>30</v>
      </c>
      <c r="B293" s="88">
        <v>2021</v>
      </c>
      <c r="C293" s="88" t="s">
        <v>36</v>
      </c>
      <c r="D293" s="88">
        <v>142.5</v>
      </c>
      <c r="E293" s="88">
        <v>189.4</v>
      </c>
      <c r="F293" s="88">
        <v>163.19999999999999</v>
      </c>
      <c r="G293" s="88">
        <v>154.5</v>
      </c>
      <c r="H293" s="88">
        <v>168.2</v>
      </c>
      <c r="I293" s="88">
        <v>150.5</v>
      </c>
      <c r="J293" s="88">
        <v>141</v>
      </c>
      <c r="K293" s="88">
        <v>159.19999999999999</v>
      </c>
      <c r="L293" s="88">
        <v>111.7</v>
      </c>
      <c r="M293" s="88">
        <v>164</v>
      </c>
      <c r="N293" s="88">
        <v>160.6</v>
      </c>
      <c r="O293" s="88">
        <v>166.4</v>
      </c>
      <c r="P293" s="88">
        <v>154.5</v>
      </c>
      <c r="Q293" s="88">
        <v>186.1</v>
      </c>
      <c r="R293" s="88">
        <v>159.6</v>
      </c>
      <c r="S293" s="88">
        <v>154.4</v>
      </c>
      <c r="T293" s="88">
        <v>158.9</v>
      </c>
      <c r="U293" s="88" t="s">
        <v>48</v>
      </c>
      <c r="V293" s="88">
        <v>156</v>
      </c>
      <c r="W293" s="88">
        <v>154.80000000000001</v>
      </c>
      <c r="X293" s="88">
        <v>164.6</v>
      </c>
      <c r="Y293" s="88">
        <v>151.30000000000001</v>
      </c>
      <c r="Z293" s="88">
        <v>157.80000000000001</v>
      </c>
      <c r="AA293" s="88">
        <v>163.80000000000001</v>
      </c>
      <c r="AB293" s="88">
        <v>153.1</v>
      </c>
      <c r="AC293" s="88">
        <v>157.30000000000001</v>
      </c>
      <c r="AD293" s="88">
        <v>156.69999999999999</v>
      </c>
      <c r="AE293" s="88">
        <f t="shared" si="34"/>
        <v>2025.7</v>
      </c>
      <c r="AF293" s="88">
        <f t="shared" si="35"/>
        <v>186.1</v>
      </c>
      <c r="AG293" s="88">
        <f t="shared" si="36"/>
        <v>472.9</v>
      </c>
      <c r="AH293" s="88">
        <f t="shared" si="37"/>
        <v>310.8</v>
      </c>
      <c r="AI293" s="88">
        <f t="shared" si="38"/>
        <v>481.5</v>
      </c>
      <c r="AJ293" s="88">
        <f t="shared" si="39"/>
        <v>151.30000000000001</v>
      </c>
      <c r="AK293" s="88">
        <f t="shared" si="40"/>
        <v>157.80000000000001</v>
      </c>
      <c r="AL293" s="88">
        <f t="shared" si="41"/>
        <v>157.30000000000001</v>
      </c>
      <c r="AM293" s="89"/>
    </row>
    <row r="294" spans="1:39" x14ac:dyDescent="0.3">
      <c r="A294" s="84" t="s">
        <v>33</v>
      </c>
      <c r="B294" s="85">
        <v>2021</v>
      </c>
      <c r="C294" s="85" t="s">
        <v>36</v>
      </c>
      <c r="D294" s="85">
        <v>147.5</v>
      </c>
      <c r="E294" s="85">
        <v>197.5</v>
      </c>
      <c r="F294" s="85">
        <v>164.7</v>
      </c>
      <c r="G294" s="85">
        <v>155.6</v>
      </c>
      <c r="H294" s="85">
        <v>156.4</v>
      </c>
      <c r="I294" s="85">
        <v>157.30000000000001</v>
      </c>
      <c r="J294" s="85">
        <v>166.1</v>
      </c>
      <c r="K294" s="85">
        <v>161.1</v>
      </c>
      <c r="L294" s="85">
        <v>114.3</v>
      </c>
      <c r="M294" s="85">
        <v>162.6</v>
      </c>
      <c r="N294" s="85">
        <v>150.69999999999999</v>
      </c>
      <c r="O294" s="85">
        <v>170.3</v>
      </c>
      <c r="P294" s="85">
        <v>160.4</v>
      </c>
      <c r="Q294" s="85">
        <v>193.5</v>
      </c>
      <c r="R294" s="85">
        <v>155.1</v>
      </c>
      <c r="S294" s="85">
        <v>138.69999999999999</v>
      </c>
      <c r="T294" s="85">
        <v>152.6</v>
      </c>
      <c r="U294" s="85">
        <v>159.9</v>
      </c>
      <c r="V294" s="85">
        <v>154.80000000000001</v>
      </c>
      <c r="W294" s="85">
        <v>147.19999999999999</v>
      </c>
      <c r="X294" s="85">
        <v>156.9</v>
      </c>
      <c r="Y294" s="85">
        <v>141.69999999999999</v>
      </c>
      <c r="Z294" s="85">
        <v>148.6</v>
      </c>
      <c r="AA294" s="85">
        <v>157.6</v>
      </c>
      <c r="AB294" s="85">
        <v>154.9</v>
      </c>
      <c r="AC294" s="85">
        <v>150</v>
      </c>
      <c r="AD294" s="85">
        <v>156.9</v>
      </c>
      <c r="AE294" s="85">
        <f t="shared" si="34"/>
        <v>2064.4999999999995</v>
      </c>
      <c r="AF294" s="85">
        <f t="shared" si="35"/>
        <v>193.5</v>
      </c>
      <c r="AG294" s="85">
        <f t="shared" si="36"/>
        <v>446.4</v>
      </c>
      <c r="AH294" s="85">
        <f t="shared" si="37"/>
        <v>461.90000000000003</v>
      </c>
      <c r="AI294" s="85">
        <f t="shared" si="38"/>
        <v>469.4</v>
      </c>
      <c r="AJ294" s="85">
        <f t="shared" si="39"/>
        <v>141.69999999999999</v>
      </c>
      <c r="AK294" s="85">
        <f t="shared" si="40"/>
        <v>148.6</v>
      </c>
      <c r="AL294" s="85">
        <f t="shared" si="41"/>
        <v>150</v>
      </c>
      <c r="AM294" s="86"/>
    </row>
    <row r="295" spans="1:39" x14ac:dyDescent="0.3">
      <c r="A295" s="87" t="s">
        <v>34</v>
      </c>
      <c r="B295" s="88">
        <v>2021</v>
      </c>
      <c r="C295" s="88" t="s">
        <v>36</v>
      </c>
      <c r="D295" s="88">
        <v>144.1</v>
      </c>
      <c r="E295" s="88">
        <v>192.2</v>
      </c>
      <c r="F295" s="88">
        <v>163.80000000000001</v>
      </c>
      <c r="G295" s="88">
        <v>154.9</v>
      </c>
      <c r="H295" s="88">
        <v>163.9</v>
      </c>
      <c r="I295" s="88">
        <v>153.69999999999999</v>
      </c>
      <c r="J295" s="88">
        <v>149.5</v>
      </c>
      <c r="K295" s="88">
        <v>159.80000000000001</v>
      </c>
      <c r="L295" s="88">
        <v>112.6</v>
      </c>
      <c r="M295" s="88">
        <v>163.5</v>
      </c>
      <c r="N295" s="88">
        <v>156.5</v>
      </c>
      <c r="O295" s="88">
        <v>168.2</v>
      </c>
      <c r="P295" s="88">
        <v>156.69999999999999</v>
      </c>
      <c r="Q295" s="88">
        <v>188.1</v>
      </c>
      <c r="R295" s="88">
        <v>157.80000000000001</v>
      </c>
      <c r="S295" s="88">
        <v>147.9</v>
      </c>
      <c r="T295" s="88">
        <v>156.4</v>
      </c>
      <c r="U295" s="88">
        <v>159.9</v>
      </c>
      <c r="V295" s="88">
        <v>155.5</v>
      </c>
      <c r="W295" s="88">
        <v>151.19999999999999</v>
      </c>
      <c r="X295" s="88">
        <v>161.69999999999999</v>
      </c>
      <c r="Y295" s="88">
        <v>146.19999999999999</v>
      </c>
      <c r="Z295" s="88">
        <v>152.6</v>
      </c>
      <c r="AA295" s="88">
        <v>160.19999999999999</v>
      </c>
      <c r="AB295" s="88">
        <v>153.80000000000001</v>
      </c>
      <c r="AC295" s="88">
        <v>153.80000000000001</v>
      </c>
      <c r="AD295" s="88">
        <v>156.80000000000001</v>
      </c>
      <c r="AE295" s="88">
        <f t="shared" si="34"/>
        <v>2039.3999999999999</v>
      </c>
      <c r="AF295" s="88">
        <f t="shared" si="35"/>
        <v>188.1</v>
      </c>
      <c r="AG295" s="88">
        <f t="shared" si="36"/>
        <v>462.1</v>
      </c>
      <c r="AH295" s="88">
        <f t="shared" si="37"/>
        <v>466.59999999999997</v>
      </c>
      <c r="AI295" s="88">
        <f t="shared" si="38"/>
        <v>475.7</v>
      </c>
      <c r="AJ295" s="88">
        <f t="shared" si="39"/>
        <v>146.19999999999999</v>
      </c>
      <c r="AK295" s="88">
        <f t="shared" si="40"/>
        <v>152.6</v>
      </c>
      <c r="AL295" s="88">
        <f t="shared" si="41"/>
        <v>153.80000000000001</v>
      </c>
      <c r="AM295" s="89"/>
    </row>
    <row r="296" spans="1:39" x14ac:dyDescent="0.3">
      <c r="A296" s="84" t="s">
        <v>30</v>
      </c>
      <c r="B296" s="85">
        <v>2021</v>
      </c>
      <c r="C296" s="85" t="s">
        <v>37</v>
      </c>
      <c r="D296" s="85">
        <v>142.69999999999999</v>
      </c>
      <c r="E296" s="85">
        <v>195.5</v>
      </c>
      <c r="F296" s="85">
        <v>163.4</v>
      </c>
      <c r="G296" s="85">
        <v>155</v>
      </c>
      <c r="H296" s="85">
        <v>175.2</v>
      </c>
      <c r="I296" s="85">
        <v>160.6</v>
      </c>
      <c r="J296" s="85">
        <v>135.1</v>
      </c>
      <c r="K296" s="85">
        <v>161.1</v>
      </c>
      <c r="L296" s="85">
        <v>112.2</v>
      </c>
      <c r="M296" s="85">
        <v>164.4</v>
      </c>
      <c r="N296" s="85">
        <v>161.9</v>
      </c>
      <c r="O296" s="85">
        <v>166.8</v>
      </c>
      <c r="P296" s="85">
        <v>155.6</v>
      </c>
      <c r="Q296" s="85">
        <v>186.8</v>
      </c>
      <c r="R296" s="85">
        <v>160.69999999999999</v>
      </c>
      <c r="S296" s="85">
        <v>155.1</v>
      </c>
      <c r="T296" s="85">
        <v>159.9</v>
      </c>
      <c r="U296" s="85" t="s">
        <v>48</v>
      </c>
      <c r="V296" s="85">
        <v>156</v>
      </c>
      <c r="W296" s="85">
        <v>155.5</v>
      </c>
      <c r="X296" s="85">
        <v>165.3</v>
      </c>
      <c r="Y296" s="85">
        <v>151.69999999999999</v>
      </c>
      <c r="Z296" s="85">
        <v>158.6</v>
      </c>
      <c r="AA296" s="85">
        <v>164.1</v>
      </c>
      <c r="AB296" s="85">
        <v>154.6</v>
      </c>
      <c r="AC296" s="85">
        <v>158</v>
      </c>
      <c r="AD296" s="85">
        <v>157.6</v>
      </c>
      <c r="AE296" s="85">
        <f t="shared" si="34"/>
        <v>2049.5</v>
      </c>
      <c r="AF296" s="85">
        <f t="shared" si="35"/>
        <v>186.8</v>
      </c>
      <c r="AG296" s="85">
        <f t="shared" si="36"/>
        <v>475.69999999999993</v>
      </c>
      <c r="AH296" s="85">
        <f t="shared" si="37"/>
        <v>311.5</v>
      </c>
      <c r="AI296" s="85">
        <f t="shared" si="38"/>
        <v>484</v>
      </c>
      <c r="AJ296" s="85">
        <f t="shared" si="39"/>
        <v>151.69999999999999</v>
      </c>
      <c r="AK296" s="85">
        <f t="shared" si="40"/>
        <v>158.6</v>
      </c>
      <c r="AL296" s="85">
        <f t="shared" si="41"/>
        <v>158</v>
      </c>
      <c r="AM296" s="86"/>
    </row>
    <row r="297" spans="1:39" x14ac:dyDescent="0.3">
      <c r="A297" s="87" t="s">
        <v>33</v>
      </c>
      <c r="B297" s="88">
        <v>2021</v>
      </c>
      <c r="C297" s="88" t="s">
        <v>37</v>
      </c>
      <c r="D297" s="88">
        <v>147.6</v>
      </c>
      <c r="E297" s="88">
        <v>202.5</v>
      </c>
      <c r="F297" s="88">
        <v>166.4</v>
      </c>
      <c r="G297" s="88">
        <v>156</v>
      </c>
      <c r="H297" s="88">
        <v>161.4</v>
      </c>
      <c r="I297" s="88">
        <v>168.8</v>
      </c>
      <c r="J297" s="88">
        <v>161.6</v>
      </c>
      <c r="K297" s="88">
        <v>162.80000000000001</v>
      </c>
      <c r="L297" s="88">
        <v>114.8</v>
      </c>
      <c r="M297" s="88">
        <v>162.80000000000001</v>
      </c>
      <c r="N297" s="88">
        <v>151.5</v>
      </c>
      <c r="O297" s="88">
        <v>171.4</v>
      </c>
      <c r="P297" s="88">
        <v>162</v>
      </c>
      <c r="Q297" s="88">
        <v>194.4</v>
      </c>
      <c r="R297" s="88">
        <v>155.9</v>
      </c>
      <c r="S297" s="88">
        <v>139.30000000000001</v>
      </c>
      <c r="T297" s="88">
        <v>153.4</v>
      </c>
      <c r="U297" s="88">
        <v>161.4</v>
      </c>
      <c r="V297" s="88">
        <v>154.9</v>
      </c>
      <c r="W297" s="88">
        <v>147.6</v>
      </c>
      <c r="X297" s="88">
        <v>157.5</v>
      </c>
      <c r="Y297" s="88">
        <v>142.1</v>
      </c>
      <c r="Z297" s="88">
        <v>149.1</v>
      </c>
      <c r="AA297" s="88">
        <v>157.6</v>
      </c>
      <c r="AB297" s="88">
        <v>156.6</v>
      </c>
      <c r="AC297" s="88">
        <v>150.5</v>
      </c>
      <c r="AD297" s="88">
        <v>158</v>
      </c>
      <c r="AE297" s="88">
        <f t="shared" si="34"/>
        <v>2089.6</v>
      </c>
      <c r="AF297" s="88">
        <f t="shared" si="35"/>
        <v>194.4</v>
      </c>
      <c r="AG297" s="88">
        <f t="shared" si="36"/>
        <v>448.6</v>
      </c>
      <c r="AH297" s="88">
        <f t="shared" si="37"/>
        <v>463.9</v>
      </c>
      <c r="AI297" s="88">
        <f t="shared" si="38"/>
        <v>471.70000000000005</v>
      </c>
      <c r="AJ297" s="88">
        <f t="shared" si="39"/>
        <v>142.1</v>
      </c>
      <c r="AK297" s="88">
        <f t="shared" si="40"/>
        <v>149.1</v>
      </c>
      <c r="AL297" s="88">
        <f t="shared" si="41"/>
        <v>150.5</v>
      </c>
      <c r="AM297" s="89"/>
    </row>
    <row r="298" spans="1:39" x14ac:dyDescent="0.3">
      <c r="A298" s="84" t="s">
        <v>34</v>
      </c>
      <c r="B298" s="85">
        <v>2021</v>
      </c>
      <c r="C298" s="85" t="s">
        <v>37</v>
      </c>
      <c r="D298" s="85">
        <v>144.30000000000001</v>
      </c>
      <c r="E298" s="85">
        <v>198</v>
      </c>
      <c r="F298" s="85">
        <v>164.6</v>
      </c>
      <c r="G298" s="85">
        <v>155.4</v>
      </c>
      <c r="H298" s="85">
        <v>170.1</v>
      </c>
      <c r="I298" s="85">
        <v>164.4</v>
      </c>
      <c r="J298" s="85">
        <v>144.1</v>
      </c>
      <c r="K298" s="85">
        <v>161.69999999999999</v>
      </c>
      <c r="L298" s="85">
        <v>113.1</v>
      </c>
      <c r="M298" s="85">
        <v>163.9</v>
      </c>
      <c r="N298" s="85">
        <v>157.6</v>
      </c>
      <c r="O298" s="85">
        <v>168.9</v>
      </c>
      <c r="P298" s="85">
        <v>158</v>
      </c>
      <c r="Q298" s="85">
        <v>188.8</v>
      </c>
      <c r="R298" s="85">
        <v>158.80000000000001</v>
      </c>
      <c r="S298" s="85">
        <v>148.5</v>
      </c>
      <c r="T298" s="85">
        <v>157.30000000000001</v>
      </c>
      <c r="U298" s="85">
        <v>161.4</v>
      </c>
      <c r="V298" s="85">
        <v>155.6</v>
      </c>
      <c r="W298" s="85">
        <v>151.80000000000001</v>
      </c>
      <c r="X298" s="85">
        <v>162.30000000000001</v>
      </c>
      <c r="Y298" s="85">
        <v>146.6</v>
      </c>
      <c r="Z298" s="85">
        <v>153.19999999999999</v>
      </c>
      <c r="AA298" s="85">
        <v>160.30000000000001</v>
      </c>
      <c r="AB298" s="85">
        <v>155.4</v>
      </c>
      <c r="AC298" s="85">
        <v>154.4</v>
      </c>
      <c r="AD298" s="85">
        <v>157.80000000000001</v>
      </c>
      <c r="AE298" s="85">
        <f t="shared" si="34"/>
        <v>2064.1</v>
      </c>
      <c r="AF298" s="85">
        <f t="shared" si="35"/>
        <v>188.8</v>
      </c>
      <c r="AG298" s="85">
        <f t="shared" si="36"/>
        <v>464.6</v>
      </c>
      <c r="AH298" s="85">
        <f t="shared" si="37"/>
        <v>468.8</v>
      </c>
      <c r="AI298" s="85">
        <f t="shared" si="38"/>
        <v>478</v>
      </c>
      <c r="AJ298" s="85">
        <f t="shared" si="39"/>
        <v>146.6</v>
      </c>
      <c r="AK298" s="85">
        <f t="shared" si="40"/>
        <v>153.19999999999999</v>
      </c>
      <c r="AL298" s="85">
        <f t="shared" si="41"/>
        <v>154.4</v>
      </c>
      <c r="AM298" s="86"/>
    </row>
    <row r="299" spans="1:39" x14ac:dyDescent="0.3">
      <c r="A299" s="87" t="s">
        <v>30</v>
      </c>
      <c r="B299" s="88">
        <v>2021</v>
      </c>
      <c r="C299" s="88" t="s">
        <v>38</v>
      </c>
      <c r="D299" s="88">
        <v>145.1</v>
      </c>
      <c r="E299" s="88">
        <v>198.5</v>
      </c>
      <c r="F299" s="88">
        <v>168.6</v>
      </c>
      <c r="G299" s="88">
        <v>155.80000000000001</v>
      </c>
      <c r="H299" s="88">
        <v>184.4</v>
      </c>
      <c r="I299" s="88">
        <v>162.30000000000001</v>
      </c>
      <c r="J299" s="88">
        <v>138.4</v>
      </c>
      <c r="K299" s="88">
        <v>165.1</v>
      </c>
      <c r="L299" s="88">
        <v>114.3</v>
      </c>
      <c r="M299" s="88">
        <v>169.7</v>
      </c>
      <c r="N299" s="88">
        <v>164.6</v>
      </c>
      <c r="O299" s="88">
        <v>169.8</v>
      </c>
      <c r="P299" s="88">
        <v>158.69999999999999</v>
      </c>
      <c r="Q299" s="88">
        <v>189.6</v>
      </c>
      <c r="R299" s="88">
        <v>165.3</v>
      </c>
      <c r="S299" s="88">
        <v>160.6</v>
      </c>
      <c r="T299" s="88">
        <v>164.5</v>
      </c>
      <c r="U299" s="88" t="s">
        <v>32</v>
      </c>
      <c r="V299" s="88">
        <v>161.69999999999999</v>
      </c>
      <c r="W299" s="88">
        <v>158.80000000000001</v>
      </c>
      <c r="X299" s="88">
        <v>169.1</v>
      </c>
      <c r="Y299" s="88">
        <v>153.19999999999999</v>
      </c>
      <c r="Z299" s="88">
        <v>160</v>
      </c>
      <c r="AA299" s="88">
        <v>167.6</v>
      </c>
      <c r="AB299" s="88">
        <v>159.30000000000001</v>
      </c>
      <c r="AC299" s="88">
        <v>161.1</v>
      </c>
      <c r="AD299" s="88">
        <v>161.1</v>
      </c>
      <c r="AE299" s="88">
        <f t="shared" si="34"/>
        <v>2095.2999999999997</v>
      </c>
      <c r="AF299" s="88">
        <f t="shared" si="35"/>
        <v>189.6</v>
      </c>
      <c r="AG299" s="88">
        <f t="shared" si="36"/>
        <v>490.4</v>
      </c>
      <c r="AH299" s="88">
        <f t="shared" si="37"/>
        <v>320.5</v>
      </c>
      <c r="AI299" s="88">
        <f t="shared" si="38"/>
        <v>496</v>
      </c>
      <c r="AJ299" s="88">
        <f t="shared" si="39"/>
        <v>153.19999999999999</v>
      </c>
      <c r="AK299" s="88">
        <f t="shared" si="40"/>
        <v>160</v>
      </c>
      <c r="AL299" s="88">
        <f t="shared" si="41"/>
        <v>161.1</v>
      </c>
      <c r="AM299" s="89"/>
    </row>
    <row r="300" spans="1:39" x14ac:dyDescent="0.3">
      <c r="A300" s="84" t="s">
        <v>33</v>
      </c>
      <c r="B300" s="85">
        <v>2021</v>
      </c>
      <c r="C300" s="85" t="s">
        <v>38</v>
      </c>
      <c r="D300" s="85">
        <v>148.80000000000001</v>
      </c>
      <c r="E300" s="85">
        <v>204.3</v>
      </c>
      <c r="F300" s="85">
        <v>173</v>
      </c>
      <c r="G300" s="85">
        <v>156.5</v>
      </c>
      <c r="H300" s="85">
        <v>168.8</v>
      </c>
      <c r="I300" s="85">
        <v>172.5</v>
      </c>
      <c r="J300" s="85">
        <v>166.5</v>
      </c>
      <c r="K300" s="85">
        <v>165.9</v>
      </c>
      <c r="L300" s="85">
        <v>115.9</v>
      </c>
      <c r="M300" s="85">
        <v>165.2</v>
      </c>
      <c r="N300" s="85">
        <v>152</v>
      </c>
      <c r="O300" s="85">
        <v>171.1</v>
      </c>
      <c r="P300" s="85">
        <v>164.2</v>
      </c>
      <c r="Q300" s="85">
        <v>198.2</v>
      </c>
      <c r="R300" s="85">
        <v>156.5</v>
      </c>
      <c r="S300" s="85">
        <v>140.19999999999999</v>
      </c>
      <c r="T300" s="85">
        <v>154.1</v>
      </c>
      <c r="U300" s="85">
        <v>161.6</v>
      </c>
      <c r="V300" s="85">
        <v>155.5</v>
      </c>
      <c r="W300" s="85">
        <v>150.1</v>
      </c>
      <c r="X300" s="85">
        <v>160.4</v>
      </c>
      <c r="Y300" s="85">
        <v>145</v>
      </c>
      <c r="Z300" s="85">
        <v>152.6</v>
      </c>
      <c r="AA300" s="85">
        <v>156.6</v>
      </c>
      <c r="AB300" s="85">
        <v>157.5</v>
      </c>
      <c r="AC300" s="85">
        <v>152.30000000000001</v>
      </c>
      <c r="AD300" s="85">
        <v>159.5</v>
      </c>
      <c r="AE300" s="85">
        <f t="shared" si="34"/>
        <v>2124.7000000000003</v>
      </c>
      <c r="AF300" s="85">
        <f t="shared" si="35"/>
        <v>198.2</v>
      </c>
      <c r="AG300" s="85">
        <f t="shared" si="36"/>
        <v>450.79999999999995</v>
      </c>
      <c r="AH300" s="85">
        <f t="shared" si="37"/>
        <v>467.20000000000005</v>
      </c>
      <c r="AI300" s="85">
        <f t="shared" si="38"/>
        <v>474.5</v>
      </c>
      <c r="AJ300" s="85">
        <f t="shared" si="39"/>
        <v>145</v>
      </c>
      <c r="AK300" s="85">
        <f t="shared" si="40"/>
        <v>152.6</v>
      </c>
      <c r="AL300" s="85">
        <f t="shared" si="41"/>
        <v>152.30000000000001</v>
      </c>
      <c r="AM300" s="86"/>
    </row>
    <row r="301" spans="1:39" x14ac:dyDescent="0.3">
      <c r="A301" s="87" t="s">
        <v>34</v>
      </c>
      <c r="B301" s="88">
        <v>2021</v>
      </c>
      <c r="C301" s="88" t="s">
        <v>38</v>
      </c>
      <c r="D301" s="88">
        <v>146.30000000000001</v>
      </c>
      <c r="E301" s="88">
        <v>200.5</v>
      </c>
      <c r="F301" s="88">
        <v>170.3</v>
      </c>
      <c r="G301" s="88">
        <v>156.1</v>
      </c>
      <c r="H301" s="88">
        <v>178.7</v>
      </c>
      <c r="I301" s="88">
        <v>167.1</v>
      </c>
      <c r="J301" s="88">
        <v>147.9</v>
      </c>
      <c r="K301" s="88">
        <v>165.4</v>
      </c>
      <c r="L301" s="88">
        <v>114.8</v>
      </c>
      <c r="M301" s="88">
        <v>168.2</v>
      </c>
      <c r="N301" s="88">
        <v>159.30000000000001</v>
      </c>
      <c r="O301" s="88">
        <v>170.4</v>
      </c>
      <c r="P301" s="88">
        <v>160.69999999999999</v>
      </c>
      <c r="Q301" s="88">
        <v>191.9</v>
      </c>
      <c r="R301" s="88">
        <v>161.80000000000001</v>
      </c>
      <c r="S301" s="88">
        <v>152.1</v>
      </c>
      <c r="T301" s="88">
        <v>160.4</v>
      </c>
      <c r="U301" s="88">
        <v>161.6</v>
      </c>
      <c r="V301" s="88">
        <v>159.4</v>
      </c>
      <c r="W301" s="88">
        <v>154.69999999999999</v>
      </c>
      <c r="X301" s="88">
        <v>165.8</v>
      </c>
      <c r="Y301" s="88">
        <v>148.9</v>
      </c>
      <c r="Z301" s="88">
        <v>155.80000000000001</v>
      </c>
      <c r="AA301" s="88">
        <v>161.19999999999999</v>
      </c>
      <c r="AB301" s="88">
        <v>158.6</v>
      </c>
      <c r="AC301" s="88">
        <v>156.80000000000001</v>
      </c>
      <c r="AD301" s="88">
        <v>160.4</v>
      </c>
      <c r="AE301" s="88">
        <f t="shared" si="34"/>
        <v>2105.7000000000003</v>
      </c>
      <c r="AF301" s="88">
        <f t="shared" si="35"/>
        <v>191.9</v>
      </c>
      <c r="AG301" s="88">
        <f t="shared" si="36"/>
        <v>474.29999999999995</v>
      </c>
      <c r="AH301" s="88">
        <f t="shared" si="37"/>
        <v>475.7</v>
      </c>
      <c r="AI301" s="88">
        <f t="shared" si="38"/>
        <v>485.6</v>
      </c>
      <c r="AJ301" s="88">
        <f t="shared" si="39"/>
        <v>148.9</v>
      </c>
      <c r="AK301" s="88">
        <f t="shared" si="40"/>
        <v>155.80000000000001</v>
      </c>
      <c r="AL301" s="88">
        <f t="shared" si="41"/>
        <v>156.80000000000001</v>
      </c>
      <c r="AM301" s="89"/>
    </row>
    <row r="302" spans="1:39" x14ac:dyDescent="0.3">
      <c r="A302" s="84" t="s">
        <v>30</v>
      </c>
      <c r="B302" s="85">
        <v>2021</v>
      </c>
      <c r="C302" s="85" t="s">
        <v>39</v>
      </c>
      <c r="D302" s="85">
        <v>145.6</v>
      </c>
      <c r="E302" s="85">
        <v>200.1</v>
      </c>
      <c r="F302" s="85">
        <v>179.3</v>
      </c>
      <c r="G302" s="85">
        <v>156.1</v>
      </c>
      <c r="H302" s="85">
        <v>190.4</v>
      </c>
      <c r="I302" s="85">
        <v>158.6</v>
      </c>
      <c r="J302" s="85">
        <v>144.69999999999999</v>
      </c>
      <c r="K302" s="85">
        <v>165.5</v>
      </c>
      <c r="L302" s="85">
        <v>114.6</v>
      </c>
      <c r="M302" s="85">
        <v>170</v>
      </c>
      <c r="N302" s="85">
        <v>165.5</v>
      </c>
      <c r="O302" s="85">
        <v>171.7</v>
      </c>
      <c r="P302" s="85">
        <v>160.5</v>
      </c>
      <c r="Q302" s="85">
        <v>189.1</v>
      </c>
      <c r="R302" s="85">
        <v>165.3</v>
      </c>
      <c r="S302" s="85">
        <v>159.9</v>
      </c>
      <c r="T302" s="85">
        <v>164.6</v>
      </c>
      <c r="U302" s="85" t="s">
        <v>32</v>
      </c>
      <c r="V302" s="85">
        <v>162.1</v>
      </c>
      <c r="W302" s="85">
        <v>159.19999999999999</v>
      </c>
      <c r="X302" s="85">
        <v>169.7</v>
      </c>
      <c r="Y302" s="85">
        <v>154.19999999999999</v>
      </c>
      <c r="Z302" s="85">
        <v>160.4</v>
      </c>
      <c r="AA302" s="85">
        <v>166.8</v>
      </c>
      <c r="AB302" s="85">
        <v>159.4</v>
      </c>
      <c r="AC302" s="85">
        <v>161.5</v>
      </c>
      <c r="AD302" s="85">
        <v>162.1</v>
      </c>
      <c r="AE302" s="85">
        <f t="shared" si="34"/>
        <v>2122.6</v>
      </c>
      <c r="AF302" s="85">
        <f t="shared" si="35"/>
        <v>189.1</v>
      </c>
      <c r="AG302" s="85">
        <f t="shared" si="36"/>
        <v>489.80000000000007</v>
      </c>
      <c r="AH302" s="85">
        <f t="shared" si="37"/>
        <v>321.29999999999995</v>
      </c>
      <c r="AI302" s="85">
        <f t="shared" si="38"/>
        <v>495.9</v>
      </c>
      <c r="AJ302" s="85">
        <f t="shared" si="39"/>
        <v>154.19999999999999</v>
      </c>
      <c r="AK302" s="85">
        <f t="shared" si="40"/>
        <v>160.4</v>
      </c>
      <c r="AL302" s="85">
        <f t="shared" si="41"/>
        <v>161.5</v>
      </c>
      <c r="AM302" s="86"/>
    </row>
    <row r="303" spans="1:39" x14ac:dyDescent="0.3">
      <c r="A303" s="87" t="s">
        <v>33</v>
      </c>
      <c r="B303" s="88">
        <v>2021</v>
      </c>
      <c r="C303" s="88" t="s">
        <v>39</v>
      </c>
      <c r="D303" s="88">
        <v>149.19999999999999</v>
      </c>
      <c r="E303" s="88">
        <v>205.5</v>
      </c>
      <c r="F303" s="88">
        <v>182.8</v>
      </c>
      <c r="G303" s="88">
        <v>156.5</v>
      </c>
      <c r="H303" s="88">
        <v>172.2</v>
      </c>
      <c r="I303" s="88">
        <v>171.5</v>
      </c>
      <c r="J303" s="88">
        <v>176.2</v>
      </c>
      <c r="K303" s="88">
        <v>166.9</v>
      </c>
      <c r="L303" s="88">
        <v>116.1</v>
      </c>
      <c r="M303" s="88">
        <v>165.5</v>
      </c>
      <c r="N303" s="88">
        <v>152.30000000000001</v>
      </c>
      <c r="O303" s="88">
        <v>173.3</v>
      </c>
      <c r="P303" s="88">
        <v>166.2</v>
      </c>
      <c r="Q303" s="88">
        <v>195.6</v>
      </c>
      <c r="R303" s="88">
        <v>157.30000000000001</v>
      </c>
      <c r="S303" s="88">
        <v>140.5</v>
      </c>
      <c r="T303" s="88">
        <v>154.80000000000001</v>
      </c>
      <c r="U303" s="88">
        <v>160.5</v>
      </c>
      <c r="V303" s="88">
        <v>156.1</v>
      </c>
      <c r="W303" s="88">
        <v>149.80000000000001</v>
      </c>
      <c r="X303" s="88">
        <v>160.80000000000001</v>
      </c>
      <c r="Y303" s="88">
        <v>147.5</v>
      </c>
      <c r="Z303" s="88">
        <v>150.69999999999999</v>
      </c>
      <c r="AA303" s="88">
        <v>158.1</v>
      </c>
      <c r="AB303" s="88">
        <v>158</v>
      </c>
      <c r="AC303" s="88">
        <v>153.4</v>
      </c>
      <c r="AD303" s="88">
        <v>160.4</v>
      </c>
      <c r="AE303" s="88">
        <f t="shared" si="34"/>
        <v>2154.1999999999998</v>
      </c>
      <c r="AF303" s="88">
        <f t="shared" si="35"/>
        <v>195.6</v>
      </c>
      <c r="AG303" s="88">
        <f t="shared" si="36"/>
        <v>452.6</v>
      </c>
      <c r="AH303" s="88">
        <f t="shared" si="37"/>
        <v>466.40000000000003</v>
      </c>
      <c r="AI303" s="88">
        <f t="shared" si="38"/>
        <v>476.9</v>
      </c>
      <c r="AJ303" s="88">
        <f t="shared" si="39"/>
        <v>147.5</v>
      </c>
      <c r="AK303" s="88">
        <f t="shared" si="40"/>
        <v>150.69999999999999</v>
      </c>
      <c r="AL303" s="88">
        <f t="shared" si="41"/>
        <v>153.4</v>
      </c>
      <c r="AM303" s="89"/>
    </row>
    <row r="304" spans="1:39" x14ac:dyDescent="0.3">
      <c r="A304" s="84" t="s">
        <v>34</v>
      </c>
      <c r="B304" s="85">
        <v>2021</v>
      </c>
      <c r="C304" s="85" t="s">
        <v>39</v>
      </c>
      <c r="D304" s="85">
        <v>146.69999999999999</v>
      </c>
      <c r="E304" s="85">
        <v>202</v>
      </c>
      <c r="F304" s="85">
        <v>180.7</v>
      </c>
      <c r="G304" s="85">
        <v>156.19999999999999</v>
      </c>
      <c r="H304" s="85">
        <v>183.7</v>
      </c>
      <c r="I304" s="85">
        <v>164.6</v>
      </c>
      <c r="J304" s="85">
        <v>155.4</v>
      </c>
      <c r="K304" s="85">
        <v>166</v>
      </c>
      <c r="L304" s="85">
        <v>115.1</v>
      </c>
      <c r="M304" s="85">
        <v>168.5</v>
      </c>
      <c r="N304" s="85">
        <v>160</v>
      </c>
      <c r="O304" s="85">
        <v>172.4</v>
      </c>
      <c r="P304" s="85">
        <v>162.6</v>
      </c>
      <c r="Q304" s="85">
        <v>190.8</v>
      </c>
      <c r="R304" s="85">
        <v>162.19999999999999</v>
      </c>
      <c r="S304" s="85">
        <v>151.80000000000001</v>
      </c>
      <c r="T304" s="85">
        <v>160.69999999999999</v>
      </c>
      <c r="U304" s="85">
        <v>160.5</v>
      </c>
      <c r="V304" s="85">
        <v>159.80000000000001</v>
      </c>
      <c r="W304" s="85">
        <v>154.80000000000001</v>
      </c>
      <c r="X304" s="85">
        <v>166.3</v>
      </c>
      <c r="Y304" s="85">
        <v>150.69999999999999</v>
      </c>
      <c r="Z304" s="85">
        <v>154.9</v>
      </c>
      <c r="AA304" s="85">
        <v>161.69999999999999</v>
      </c>
      <c r="AB304" s="85">
        <v>158.80000000000001</v>
      </c>
      <c r="AC304" s="85">
        <v>157.6</v>
      </c>
      <c r="AD304" s="85">
        <v>161.30000000000001</v>
      </c>
      <c r="AE304" s="85">
        <f t="shared" si="34"/>
        <v>2133.9</v>
      </c>
      <c r="AF304" s="85">
        <f t="shared" si="35"/>
        <v>190.8</v>
      </c>
      <c r="AG304" s="85">
        <f t="shared" si="36"/>
        <v>474.7</v>
      </c>
      <c r="AH304" s="85">
        <f t="shared" si="37"/>
        <v>475.1</v>
      </c>
      <c r="AI304" s="85">
        <f t="shared" si="38"/>
        <v>486.8</v>
      </c>
      <c r="AJ304" s="85">
        <f t="shared" si="39"/>
        <v>150.69999999999999</v>
      </c>
      <c r="AK304" s="85">
        <f t="shared" si="40"/>
        <v>154.9</v>
      </c>
      <c r="AL304" s="85">
        <f t="shared" si="41"/>
        <v>157.6</v>
      </c>
      <c r="AM304" s="86"/>
    </row>
    <row r="305" spans="1:39" x14ac:dyDescent="0.3">
      <c r="A305" s="87" t="s">
        <v>30</v>
      </c>
      <c r="B305" s="88">
        <v>2021</v>
      </c>
      <c r="C305" s="88" t="s">
        <v>40</v>
      </c>
      <c r="D305" s="88">
        <v>145.1</v>
      </c>
      <c r="E305" s="88">
        <v>204.5</v>
      </c>
      <c r="F305" s="88">
        <v>180.4</v>
      </c>
      <c r="G305" s="88">
        <v>157.1</v>
      </c>
      <c r="H305" s="88">
        <v>188.7</v>
      </c>
      <c r="I305" s="88">
        <v>157.69999999999999</v>
      </c>
      <c r="J305" s="88">
        <v>152.80000000000001</v>
      </c>
      <c r="K305" s="88">
        <v>163.6</v>
      </c>
      <c r="L305" s="88">
        <v>113.9</v>
      </c>
      <c r="M305" s="88">
        <v>169.7</v>
      </c>
      <c r="N305" s="88">
        <v>166.2</v>
      </c>
      <c r="O305" s="88">
        <v>171</v>
      </c>
      <c r="P305" s="88">
        <v>161.69999999999999</v>
      </c>
      <c r="Q305" s="88">
        <v>189.7</v>
      </c>
      <c r="R305" s="88">
        <v>166</v>
      </c>
      <c r="S305" s="88">
        <v>161.1</v>
      </c>
      <c r="T305" s="88">
        <v>165.3</v>
      </c>
      <c r="U305" s="88" t="s">
        <v>32</v>
      </c>
      <c r="V305" s="88">
        <v>162.5</v>
      </c>
      <c r="W305" s="88">
        <v>160.30000000000001</v>
      </c>
      <c r="X305" s="88">
        <v>170.4</v>
      </c>
      <c r="Y305" s="88">
        <v>157.1</v>
      </c>
      <c r="Z305" s="88">
        <v>160.69999999999999</v>
      </c>
      <c r="AA305" s="88">
        <v>167.2</v>
      </c>
      <c r="AB305" s="88">
        <v>160.4</v>
      </c>
      <c r="AC305" s="88">
        <v>162.80000000000001</v>
      </c>
      <c r="AD305" s="88">
        <v>163.19999999999999</v>
      </c>
      <c r="AE305" s="88">
        <f t="shared" si="34"/>
        <v>2132.4</v>
      </c>
      <c r="AF305" s="88">
        <f t="shared" si="35"/>
        <v>189.7</v>
      </c>
      <c r="AG305" s="88">
        <f t="shared" si="36"/>
        <v>492.40000000000003</v>
      </c>
      <c r="AH305" s="88">
        <f t="shared" si="37"/>
        <v>322.8</v>
      </c>
      <c r="AI305" s="88">
        <f t="shared" si="38"/>
        <v>498</v>
      </c>
      <c r="AJ305" s="88">
        <f t="shared" si="39"/>
        <v>157.1</v>
      </c>
      <c r="AK305" s="88">
        <f t="shared" si="40"/>
        <v>160.69999999999999</v>
      </c>
      <c r="AL305" s="88">
        <f t="shared" si="41"/>
        <v>162.80000000000001</v>
      </c>
      <c r="AM305" s="89"/>
    </row>
    <row r="306" spans="1:39" x14ac:dyDescent="0.3">
      <c r="A306" s="84" t="s">
        <v>33</v>
      </c>
      <c r="B306" s="85">
        <v>2021</v>
      </c>
      <c r="C306" s="85" t="s">
        <v>40</v>
      </c>
      <c r="D306" s="85">
        <v>149.1</v>
      </c>
      <c r="E306" s="85">
        <v>210.9</v>
      </c>
      <c r="F306" s="85">
        <v>185</v>
      </c>
      <c r="G306" s="85">
        <v>158.19999999999999</v>
      </c>
      <c r="H306" s="85">
        <v>170.6</v>
      </c>
      <c r="I306" s="85">
        <v>170.9</v>
      </c>
      <c r="J306" s="85">
        <v>186.4</v>
      </c>
      <c r="K306" s="85">
        <v>164.7</v>
      </c>
      <c r="L306" s="85">
        <v>115.7</v>
      </c>
      <c r="M306" s="85">
        <v>165.5</v>
      </c>
      <c r="N306" s="85">
        <v>153.4</v>
      </c>
      <c r="O306" s="85">
        <v>173.5</v>
      </c>
      <c r="P306" s="85">
        <v>167.9</v>
      </c>
      <c r="Q306" s="85">
        <v>195.5</v>
      </c>
      <c r="R306" s="85">
        <v>157.9</v>
      </c>
      <c r="S306" s="85">
        <v>141.9</v>
      </c>
      <c r="T306" s="85">
        <v>155.5</v>
      </c>
      <c r="U306" s="85">
        <v>161.5</v>
      </c>
      <c r="V306" s="85">
        <v>157.69999999999999</v>
      </c>
      <c r="W306" s="85">
        <v>150.69999999999999</v>
      </c>
      <c r="X306" s="85">
        <v>161.5</v>
      </c>
      <c r="Y306" s="85">
        <v>149.5</v>
      </c>
      <c r="Z306" s="85">
        <v>151.19999999999999</v>
      </c>
      <c r="AA306" s="85">
        <v>160.30000000000001</v>
      </c>
      <c r="AB306" s="85">
        <v>159.6</v>
      </c>
      <c r="AC306" s="85">
        <v>155</v>
      </c>
      <c r="AD306" s="85">
        <v>161.80000000000001</v>
      </c>
      <c r="AE306" s="85">
        <f t="shared" si="34"/>
        <v>2171.8000000000002</v>
      </c>
      <c r="AF306" s="85">
        <f t="shared" si="35"/>
        <v>195.5</v>
      </c>
      <c r="AG306" s="85">
        <f t="shared" si="36"/>
        <v>455.3</v>
      </c>
      <c r="AH306" s="85">
        <f t="shared" si="37"/>
        <v>469.9</v>
      </c>
      <c r="AI306" s="85">
        <f t="shared" si="38"/>
        <v>481.4</v>
      </c>
      <c r="AJ306" s="85">
        <f t="shared" si="39"/>
        <v>149.5</v>
      </c>
      <c r="AK306" s="85">
        <f t="shared" si="40"/>
        <v>151.19999999999999</v>
      </c>
      <c r="AL306" s="85">
        <f t="shared" si="41"/>
        <v>155</v>
      </c>
      <c r="AM306" s="86"/>
    </row>
    <row r="307" spans="1:39" x14ac:dyDescent="0.3">
      <c r="A307" s="87" t="s">
        <v>34</v>
      </c>
      <c r="B307" s="88">
        <v>2021</v>
      </c>
      <c r="C307" s="88" t="s">
        <v>40</v>
      </c>
      <c r="D307" s="88">
        <v>146.4</v>
      </c>
      <c r="E307" s="88">
        <v>206.8</v>
      </c>
      <c r="F307" s="88">
        <v>182.2</v>
      </c>
      <c r="G307" s="88">
        <v>157.5</v>
      </c>
      <c r="H307" s="88">
        <v>182.1</v>
      </c>
      <c r="I307" s="88">
        <v>163.9</v>
      </c>
      <c r="J307" s="88">
        <v>164.2</v>
      </c>
      <c r="K307" s="88">
        <v>164</v>
      </c>
      <c r="L307" s="88">
        <v>114.5</v>
      </c>
      <c r="M307" s="88">
        <v>168.3</v>
      </c>
      <c r="N307" s="88">
        <v>160.9</v>
      </c>
      <c r="O307" s="88">
        <v>172.2</v>
      </c>
      <c r="P307" s="88">
        <v>164</v>
      </c>
      <c r="Q307" s="88">
        <v>191.2</v>
      </c>
      <c r="R307" s="88">
        <v>162.80000000000001</v>
      </c>
      <c r="S307" s="88">
        <v>153.1</v>
      </c>
      <c r="T307" s="88">
        <v>161.4</v>
      </c>
      <c r="U307" s="88">
        <v>161.5</v>
      </c>
      <c r="V307" s="88">
        <v>160.69999999999999</v>
      </c>
      <c r="W307" s="88">
        <v>155.80000000000001</v>
      </c>
      <c r="X307" s="88">
        <v>167</v>
      </c>
      <c r="Y307" s="88">
        <v>153.1</v>
      </c>
      <c r="Z307" s="88">
        <v>155.30000000000001</v>
      </c>
      <c r="AA307" s="88">
        <v>163.19999999999999</v>
      </c>
      <c r="AB307" s="88">
        <v>160.1</v>
      </c>
      <c r="AC307" s="88">
        <v>159</v>
      </c>
      <c r="AD307" s="88">
        <v>162.5</v>
      </c>
      <c r="AE307" s="88">
        <f t="shared" si="34"/>
        <v>2147</v>
      </c>
      <c r="AF307" s="88">
        <f t="shared" si="35"/>
        <v>191.2</v>
      </c>
      <c r="AG307" s="88">
        <f t="shared" si="36"/>
        <v>477.29999999999995</v>
      </c>
      <c r="AH307" s="88">
        <f t="shared" si="37"/>
        <v>478</v>
      </c>
      <c r="AI307" s="88">
        <f t="shared" si="38"/>
        <v>490.29999999999995</v>
      </c>
      <c r="AJ307" s="88">
        <f t="shared" si="39"/>
        <v>153.1</v>
      </c>
      <c r="AK307" s="88">
        <f t="shared" si="40"/>
        <v>155.30000000000001</v>
      </c>
      <c r="AL307" s="88">
        <f t="shared" si="41"/>
        <v>159</v>
      </c>
      <c r="AM307" s="89"/>
    </row>
    <row r="308" spans="1:39" x14ac:dyDescent="0.3">
      <c r="A308" s="84" t="s">
        <v>30</v>
      </c>
      <c r="B308" s="85">
        <v>2021</v>
      </c>
      <c r="C308" s="85" t="s">
        <v>41</v>
      </c>
      <c r="D308" s="85">
        <v>144.9</v>
      </c>
      <c r="E308" s="85">
        <v>202.3</v>
      </c>
      <c r="F308" s="85">
        <v>176.5</v>
      </c>
      <c r="G308" s="85">
        <v>157.5</v>
      </c>
      <c r="H308" s="85">
        <v>190.9</v>
      </c>
      <c r="I308" s="85">
        <v>155.69999999999999</v>
      </c>
      <c r="J308" s="85">
        <v>153.9</v>
      </c>
      <c r="K308" s="85">
        <v>162.80000000000001</v>
      </c>
      <c r="L308" s="85">
        <v>115.2</v>
      </c>
      <c r="M308" s="85">
        <v>169.8</v>
      </c>
      <c r="N308" s="85">
        <v>167.6</v>
      </c>
      <c r="O308" s="85">
        <v>171.9</v>
      </c>
      <c r="P308" s="85">
        <v>161.80000000000001</v>
      </c>
      <c r="Q308" s="85">
        <v>190.2</v>
      </c>
      <c r="R308" s="85">
        <v>167</v>
      </c>
      <c r="S308" s="85">
        <v>162.6</v>
      </c>
      <c r="T308" s="85">
        <v>166.3</v>
      </c>
      <c r="U308" s="85" t="s">
        <v>32</v>
      </c>
      <c r="V308" s="85">
        <v>163.1</v>
      </c>
      <c r="W308" s="85">
        <v>160.9</v>
      </c>
      <c r="X308" s="85">
        <v>171.1</v>
      </c>
      <c r="Y308" s="85">
        <v>157.69999999999999</v>
      </c>
      <c r="Z308" s="85">
        <v>161.1</v>
      </c>
      <c r="AA308" s="85">
        <v>167.5</v>
      </c>
      <c r="AB308" s="85">
        <v>160.30000000000001</v>
      </c>
      <c r="AC308" s="85">
        <v>163.30000000000001</v>
      </c>
      <c r="AD308" s="85">
        <v>163.6</v>
      </c>
      <c r="AE308" s="85">
        <f t="shared" si="34"/>
        <v>2130.8000000000002</v>
      </c>
      <c r="AF308" s="85">
        <f t="shared" si="35"/>
        <v>190.2</v>
      </c>
      <c r="AG308" s="85">
        <f t="shared" si="36"/>
        <v>495.90000000000003</v>
      </c>
      <c r="AH308" s="85">
        <f t="shared" si="37"/>
        <v>324</v>
      </c>
      <c r="AI308" s="85">
        <f t="shared" si="38"/>
        <v>498.90000000000003</v>
      </c>
      <c r="AJ308" s="85">
        <f t="shared" si="39"/>
        <v>157.69999999999999</v>
      </c>
      <c r="AK308" s="85">
        <f t="shared" si="40"/>
        <v>161.1</v>
      </c>
      <c r="AL308" s="85">
        <f t="shared" si="41"/>
        <v>163.30000000000001</v>
      </c>
      <c r="AM308" s="86"/>
    </row>
    <row r="309" spans="1:39" x14ac:dyDescent="0.3">
      <c r="A309" s="87" t="s">
        <v>33</v>
      </c>
      <c r="B309" s="88">
        <v>2021</v>
      </c>
      <c r="C309" s="88" t="s">
        <v>41</v>
      </c>
      <c r="D309" s="88">
        <v>149.30000000000001</v>
      </c>
      <c r="E309" s="88">
        <v>207.4</v>
      </c>
      <c r="F309" s="88">
        <v>174.1</v>
      </c>
      <c r="G309" s="88">
        <v>159.19999999999999</v>
      </c>
      <c r="H309" s="88">
        <v>175</v>
      </c>
      <c r="I309" s="88">
        <v>161.30000000000001</v>
      </c>
      <c r="J309" s="88">
        <v>183.3</v>
      </c>
      <c r="K309" s="88">
        <v>164.5</v>
      </c>
      <c r="L309" s="88">
        <v>120.4</v>
      </c>
      <c r="M309" s="88">
        <v>166.2</v>
      </c>
      <c r="N309" s="88">
        <v>154.80000000000001</v>
      </c>
      <c r="O309" s="88">
        <v>175.1</v>
      </c>
      <c r="P309" s="88">
        <v>167.3</v>
      </c>
      <c r="Q309" s="88">
        <v>196.5</v>
      </c>
      <c r="R309" s="88">
        <v>159.80000000000001</v>
      </c>
      <c r="S309" s="88">
        <v>143.6</v>
      </c>
      <c r="T309" s="88">
        <v>157.30000000000001</v>
      </c>
      <c r="U309" s="88">
        <v>162.1</v>
      </c>
      <c r="V309" s="88">
        <v>160.69999999999999</v>
      </c>
      <c r="W309" s="88">
        <v>153.19999999999999</v>
      </c>
      <c r="X309" s="88">
        <v>162.80000000000001</v>
      </c>
      <c r="Y309" s="88">
        <v>150.4</v>
      </c>
      <c r="Z309" s="88">
        <v>153.69999999999999</v>
      </c>
      <c r="AA309" s="88">
        <v>160.4</v>
      </c>
      <c r="AB309" s="88">
        <v>159.6</v>
      </c>
      <c r="AC309" s="88">
        <v>156</v>
      </c>
      <c r="AD309" s="88">
        <v>162.30000000000001</v>
      </c>
      <c r="AE309" s="88">
        <f t="shared" si="34"/>
        <v>2157.9</v>
      </c>
      <c r="AF309" s="88">
        <f t="shared" si="35"/>
        <v>196.5</v>
      </c>
      <c r="AG309" s="88">
        <f t="shared" si="36"/>
        <v>460.7</v>
      </c>
      <c r="AH309" s="88">
        <f t="shared" si="37"/>
        <v>475.99999999999994</v>
      </c>
      <c r="AI309" s="88">
        <f t="shared" si="38"/>
        <v>482.80000000000007</v>
      </c>
      <c r="AJ309" s="88">
        <f t="shared" si="39"/>
        <v>150.4</v>
      </c>
      <c r="AK309" s="88">
        <f t="shared" si="40"/>
        <v>153.69999999999999</v>
      </c>
      <c r="AL309" s="88">
        <f t="shared" si="41"/>
        <v>156</v>
      </c>
      <c r="AM309" s="89"/>
    </row>
    <row r="310" spans="1:39" x14ac:dyDescent="0.3">
      <c r="A310" s="84" t="s">
        <v>34</v>
      </c>
      <c r="B310" s="85">
        <v>2021</v>
      </c>
      <c r="C310" s="85" t="s">
        <v>41</v>
      </c>
      <c r="D310" s="85">
        <v>146.6</v>
      </c>
      <c r="E310" s="85">
        <v>204</v>
      </c>
      <c r="F310" s="85">
        <v>172.8</v>
      </c>
      <c r="G310" s="85">
        <v>158.4</v>
      </c>
      <c r="H310" s="85">
        <v>188</v>
      </c>
      <c r="I310" s="85">
        <v>156.80000000000001</v>
      </c>
      <c r="J310" s="85">
        <v>162.19999999999999</v>
      </c>
      <c r="K310" s="85">
        <v>164.1</v>
      </c>
      <c r="L310" s="85">
        <v>119.7</v>
      </c>
      <c r="M310" s="85">
        <v>168.8</v>
      </c>
      <c r="N310" s="85">
        <v>162.69999999999999</v>
      </c>
      <c r="O310" s="85">
        <v>173.9</v>
      </c>
      <c r="P310" s="85">
        <v>164</v>
      </c>
      <c r="Q310" s="85">
        <v>192.1</v>
      </c>
      <c r="R310" s="85">
        <v>164.5</v>
      </c>
      <c r="S310" s="85">
        <v>155.30000000000001</v>
      </c>
      <c r="T310" s="85">
        <v>163.19999999999999</v>
      </c>
      <c r="U310" s="85">
        <v>162.1</v>
      </c>
      <c r="V310" s="85">
        <v>162.6</v>
      </c>
      <c r="W310" s="85">
        <v>157.5</v>
      </c>
      <c r="X310" s="85">
        <v>168.4</v>
      </c>
      <c r="Y310" s="85">
        <v>154</v>
      </c>
      <c r="Z310" s="85">
        <v>157.6</v>
      </c>
      <c r="AA310" s="85">
        <v>163.80000000000001</v>
      </c>
      <c r="AB310" s="85">
        <v>160</v>
      </c>
      <c r="AC310" s="85">
        <v>160</v>
      </c>
      <c r="AD310" s="85">
        <v>163.19999999999999</v>
      </c>
      <c r="AE310" s="85">
        <f t="shared" si="34"/>
        <v>2142</v>
      </c>
      <c r="AF310" s="85">
        <f t="shared" si="35"/>
        <v>192.1</v>
      </c>
      <c r="AG310" s="85">
        <f t="shared" si="36"/>
        <v>483</v>
      </c>
      <c r="AH310" s="85">
        <f t="shared" si="37"/>
        <v>482.2</v>
      </c>
      <c r="AI310" s="85">
        <f t="shared" si="38"/>
        <v>492.20000000000005</v>
      </c>
      <c r="AJ310" s="85">
        <f t="shared" si="39"/>
        <v>154</v>
      </c>
      <c r="AK310" s="85">
        <f t="shared" si="40"/>
        <v>157.6</v>
      </c>
      <c r="AL310" s="85">
        <f t="shared" si="41"/>
        <v>160</v>
      </c>
      <c r="AM310" s="86"/>
    </row>
    <row r="311" spans="1:39" x14ac:dyDescent="0.3">
      <c r="A311" s="87" t="s">
        <v>30</v>
      </c>
      <c r="B311" s="88">
        <v>2021</v>
      </c>
      <c r="C311" s="88" t="s">
        <v>42</v>
      </c>
      <c r="D311" s="88">
        <v>145.4</v>
      </c>
      <c r="E311" s="88">
        <v>202.1</v>
      </c>
      <c r="F311" s="88">
        <v>172</v>
      </c>
      <c r="G311" s="88">
        <v>158</v>
      </c>
      <c r="H311" s="88">
        <v>195.5</v>
      </c>
      <c r="I311" s="88">
        <v>152.69999999999999</v>
      </c>
      <c r="J311" s="88">
        <v>151.4</v>
      </c>
      <c r="K311" s="88">
        <v>163.9</v>
      </c>
      <c r="L311" s="88">
        <v>119.3</v>
      </c>
      <c r="M311" s="88">
        <v>170.1</v>
      </c>
      <c r="N311" s="88">
        <v>168.3</v>
      </c>
      <c r="O311" s="88">
        <v>172.8</v>
      </c>
      <c r="P311" s="88">
        <v>162.1</v>
      </c>
      <c r="Q311" s="88">
        <v>190.5</v>
      </c>
      <c r="R311" s="88">
        <v>167.7</v>
      </c>
      <c r="S311" s="88">
        <v>163.6</v>
      </c>
      <c r="T311" s="88">
        <v>167.1</v>
      </c>
      <c r="U311" s="88" t="s">
        <v>32</v>
      </c>
      <c r="V311" s="88">
        <v>163.69999999999999</v>
      </c>
      <c r="W311" s="88">
        <v>161.30000000000001</v>
      </c>
      <c r="X311" s="88">
        <v>171.9</v>
      </c>
      <c r="Y311" s="88">
        <v>157.80000000000001</v>
      </c>
      <c r="Z311" s="88">
        <v>162.69999999999999</v>
      </c>
      <c r="AA311" s="88">
        <v>168.5</v>
      </c>
      <c r="AB311" s="88">
        <v>160.19999999999999</v>
      </c>
      <c r="AC311" s="88">
        <v>163.80000000000001</v>
      </c>
      <c r="AD311" s="88">
        <v>164</v>
      </c>
      <c r="AE311" s="88">
        <f t="shared" si="34"/>
        <v>2133.6</v>
      </c>
      <c r="AF311" s="88">
        <f t="shared" si="35"/>
        <v>190.5</v>
      </c>
      <c r="AG311" s="88">
        <f t="shared" si="36"/>
        <v>498.4</v>
      </c>
      <c r="AH311" s="88">
        <f t="shared" si="37"/>
        <v>325</v>
      </c>
      <c r="AI311" s="88">
        <f t="shared" si="38"/>
        <v>500.59999999999997</v>
      </c>
      <c r="AJ311" s="88">
        <f t="shared" si="39"/>
        <v>157.80000000000001</v>
      </c>
      <c r="AK311" s="88">
        <f t="shared" si="40"/>
        <v>162.69999999999999</v>
      </c>
      <c r="AL311" s="88">
        <f t="shared" si="41"/>
        <v>163.80000000000001</v>
      </c>
      <c r="AM311" s="89"/>
    </row>
    <row r="312" spans="1:39" x14ac:dyDescent="0.3">
      <c r="A312" s="84" t="s">
        <v>33</v>
      </c>
      <c r="B312" s="85">
        <v>2021</v>
      </c>
      <c r="C312" s="85" t="s">
        <v>42</v>
      </c>
      <c r="D312" s="85">
        <v>149.30000000000001</v>
      </c>
      <c r="E312" s="85">
        <v>207.4</v>
      </c>
      <c r="F312" s="85">
        <v>174.1</v>
      </c>
      <c r="G312" s="85">
        <v>159.1</v>
      </c>
      <c r="H312" s="85">
        <v>175</v>
      </c>
      <c r="I312" s="85">
        <v>161.19999999999999</v>
      </c>
      <c r="J312" s="85">
        <v>183.5</v>
      </c>
      <c r="K312" s="85">
        <v>164.5</v>
      </c>
      <c r="L312" s="85">
        <v>120.4</v>
      </c>
      <c r="M312" s="85">
        <v>166.2</v>
      </c>
      <c r="N312" s="85">
        <v>154.80000000000001</v>
      </c>
      <c r="O312" s="85">
        <v>175.1</v>
      </c>
      <c r="P312" s="85">
        <v>167.3</v>
      </c>
      <c r="Q312" s="85">
        <v>196.5</v>
      </c>
      <c r="R312" s="85">
        <v>159.80000000000001</v>
      </c>
      <c r="S312" s="85">
        <v>143.6</v>
      </c>
      <c r="T312" s="85">
        <v>157.4</v>
      </c>
      <c r="U312" s="85">
        <v>162.1</v>
      </c>
      <c r="V312" s="85">
        <v>160.80000000000001</v>
      </c>
      <c r="W312" s="85">
        <v>153.30000000000001</v>
      </c>
      <c r="X312" s="85">
        <v>162.80000000000001</v>
      </c>
      <c r="Y312" s="85">
        <v>150.5</v>
      </c>
      <c r="Z312" s="85">
        <v>153.9</v>
      </c>
      <c r="AA312" s="85">
        <v>160.30000000000001</v>
      </c>
      <c r="AB312" s="85">
        <v>159.6</v>
      </c>
      <c r="AC312" s="85">
        <v>156</v>
      </c>
      <c r="AD312" s="85">
        <v>162.30000000000001</v>
      </c>
      <c r="AE312" s="85">
        <f t="shared" si="34"/>
        <v>2157.9</v>
      </c>
      <c r="AF312" s="85">
        <f t="shared" si="35"/>
        <v>196.5</v>
      </c>
      <c r="AG312" s="85">
        <f t="shared" si="36"/>
        <v>460.79999999999995</v>
      </c>
      <c r="AH312" s="85">
        <f t="shared" si="37"/>
        <v>476.2</v>
      </c>
      <c r="AI312" s="85">
        <f t="shared" si="38"/>
        <v>482.70000000000005</v>
      </c>
      <c r="AJ312" s="85">
        <f t="shared" si="39"/>
        <v>150.5</v>
      </c>
      <c r="AK312" s="85">
        <f t="shared" si="40"/>
        <v>153.9</v>
      </c>
      <c r="AL312" s="85">
        <f t="shared" si="41"/>
        <v>156</v>
      </c>
      <c r="AM312" s="86"/>
    </row>
    <row r="313" spans="1:39" x14ac:dyDescent="0.3">
      <c r="A313" s="87" t="s">
        <v>34</v>
      </c>
      <c r="B313" s="88">
        <v>2021</v>
      </c>
      <c r="C313" s="88" t="s">
        <v>42</v>
      </c>
      <c r="D313" s="88">
        <v>146.6</v>
      </c>
      <c r="E313" s="88">
        <v>204</v>
      </c>
      <c r="F313" s="88">
        <v>172.8</v>
      </c>
      <c r="G313" s="88">
        <v>158.4</v>
      </c>
      <c r="H313" s="88">
        <v>188</v>
      </c>
      <c r="I313" s="88">
        <v>156.69999999999999</v>
      </c>
      <c r="J313" s="88">
        <v>162.30000000000001</v>
      </c>
      <c r="K313" s="88">
        <v>164.1</v>
      </c>
      <c r="L313" s="88">
        <v>119.7</v>
      </c>
      <c r="M313" s="88">
        <v>168.8</v>
      </c>
      <c r="N313" s="88">
        <v>162.69999999999999</v>
      </c>
      <c r="O313" s="88">
        <v>173.9</v>
      </c>
      <c r="P313" s="88">
        <v>164</v>
      </c>
      <c r="Q313" s="88">
        <v>192.1</v>
      </c>
      <c r="R313" s="88">
        <v>164.6</v>
      </c>
      <c r="S313" s="88">
        <v>155.30000000000001</v>
      </c>
      <c r="T313" s="88">
        <v>163.30000000000001</v>
      </c>
      <c r="U313" s="88">
        <v>162.1</v>
      </c>
      <c r="V313" s="88">
        <v>162.6</v>
      </c>
      <c r="W313" s="88">
        <v>157.5</v>
      </c>
      <c r="X313" s="88">
        <v>168.4</v>
      </c>
      <c r="Y313" s="88">
        <v>154</v>
      </c>
      <c r="Z313" s="88">
        <v>157.69999999999999</v>
      </c>
      <c r="AA313" s="88">
        <v>163.69999999999999</v>
      </c>
      <c r="AB313" s="88">
        <v>160</v>
      </c>
      <c r="AC313" s="88">
        <v>160</v>
      </c>
      <c r="AD313" s="88">
        <v>163.19999999999999</v>
      </c>
      <c r="AE313" s="88">
        <f t="shared" si="34"/>
        <v>2142</v>
      </c>
      <c r="AF313" s="88">
        <f t="shared" si="35"/>
        <v>192.1</v>
      </c>
      <c r="AG313" s="88">
        <f t="shared" si="36"/>
        <v>483.2</v>
      </c>
      <c r="AH313" s="88">
        <f t="shared" si="37"/>
        <v>482.2</v>
      </c>
      <c r="AI313" s="88">
        <f t="shared" si="38"/>
        <v>492.1</v>
      </c>
      <c r="AJ313" s="88">
        <f t="shared" si="39"/>
        <v>154</v>
      </c>
      <c r="AK313" s="88">
        <f t="shared" si="40"/>
        <v>157.69999999999999</v>
      </c>
      <c r="AL313" s="88">
        <f t="shared" si="41"/>
        <v>160</v>
      </c>
      <c r="AM313" s="89"/>
    </row>
    <row r="314" spans="1:39" x14ac:dyDescent="0.3">
      <c r="A314" s="84" t="s">
        <v>30</v>
      </c>
      <c r="B314" s="85">
        <v>2021</v>
      </c>
      <c r="C314" s="85" t="s">
        <v>43</v>
      </c>
      <c r="D314" s="85">
        <v>146.1</v>
      </c>
      <c r="E314" s="85">
        <v>202.5</v>
      </c>
      <c r="F314" s="85">
        <v>170.1</v>
      </c>
      <c r="G314" s="85">
        <v>158.4</v>
      </c>
      <c r="H314" s="85">
        <v>198.8</v>
      </c>
      <c r="I314" s="85">
        <v>152.6</v>
      </c>
      <c r="J314" s="85">
        <v>170.4</v>
      </c>
      <c r="K314" s="85">
        <v>165.2</v>
      </c>
      <c r="L314" s="85">
        <v>121.6</v>
      </c>
      <c r="M314" s="85">
        <v>170.6</v>
      </c>
      <c r="N314" s="85">
        <v>168.8</v>
      </c>
      <c r="O314" s="85">
        <v>173.6</v>
      </c>
      <c r="P314" s="85">
        <v>165.5</v>
      </c>
      <c r="Q314" s="85">
        <v>191.2</v>
      </c>
      <c r="R314" s="85">
        <v>168.9</v>
      </c>
      <c r="S314" s="85">
        <v>164.8</v>
      </c>
      <c r="T314" s="85">
        <v>168.3</v>
      </c>
      <c r="U314" s="85" t="s">
        <v>32</v>
      </c>
      <c r="V314" s="85">
        <v>165.5</v>
      </c>
      <c r="W314" s="85">
        <v>162</v>
      </c>
      <c r="X314" s="85">
        <v>172.5</v>
      </c>
      <c r="Y314" s="85">
        <v>159.5</v>
      </c>
      <c r="Z314" s="85">
        <v>163.19999999999999</v>
      </c>
      <c r="AA314" s="85">
        <v>169</v>
      </c>
      <c r="AB314" s="85">
        <v>161.1</v>
      </c>
      <c r="AC314" s="85">
        <v>164.7</v>
      </c>
      <c r="AD314" s="85">
        <v>166.3</v>
      </c>
      <c r="AE314" s="85">
        <f t="shared" si="34"/>
        <v>2164.1999999999998</v>
      </c>
      <c r="AF314" s="85">
        <f t="shared" si="35"/>
        <v>191.2</v>
      </c>
      <c r="AG314" s="85">
        <f t="shared" si="36"/>
        <v>502.00000000000006</v>
      </c>
      <c r="AH314" s="85">
        <f t="shared" si="37"/>
        <v>327.5</v>
      </c>
      <c r="AI314" s="85">
        <f t="shared" si="38"/>
        <v>502.6</v>
      </c>
      <c r="AJ314" s="85">
        <f t="shared" si="39"/>
        <v>159.5</v>
      </c>
      <c r="AK314" s="85">
        <f t="shared" si="40"/>
        <v>163.19999999999999</v>
      </c>
      <c r="AL314" s="85">
        <f t="shared" si="41"/>
        <v>164.7</v>
      </c>
      <c r="AM314" s="86"/>
    </row>
    <row r="315" spans="1:39" x14ac:dyDescent="0.3">
      <c r="A315" s="87" t="s">
        <v>33</v>
      </c>
      <c r="B315" s="88">
        <v>2021</v>
      </c>
      <c r="C315" s="88" t="s">
        <v>43</v>
      </c>
      <c r="D315" s="88">
        <v>150.1</v>
      </c>
      <c r="E315" s="88">
        <v>208.4</v>
      </c>
      <c r="F315" s="88">
        <v>173</v>
      </c>
      <c r="G315" s="88">
        <v>159.19999999999999</v>
      </c>
      <c r="H315" s="88">
        <v>176.6</v>
      </c>
      <c r="I315" s="88">
        <v>159.30000000000001</v>
      </c>
      <c r="J315" s="88">
        <v>214.4</v>
      </c>
      <c r="K315" s="88">
        <v>165.3</v>
      </c>
      <c r="L315" s="88">
        <v>122.5</v>
      </c>
      <c r="M315" s="88">
        <v>166.8</v>
      </c>
      <c r="N315" s="88">
        <v>155.4</v>
      </c>
      <c r="O315" s="88">
        <v>175.9</v>
      </c>
      <c r="P315" s="88">
        <v>171.5</v>
      </c>
      <c r="Q315" s="88">
        <v>197</v>
      </c>
      <c r="R315" s="88">
        <v>160.80000000000001</v>
      </c>
      <c r="S315" s="88">
        <v>144.4</v>
      </c>
      <c r="T315" s="88">
        <v>158.30000000000001</v>
      </c>
      <c r="U315" s="88">
        <v>163.6</v>
      </c>
      <c r="V315" s="88">
        <v>162.19999999999999</v>
      </c>
      <c r="W315" s="88">
        <v>154.30000000000001</v>
      </c>
      <c r="X315" s="88">
        <v>163.5</v>
      </c>
      <c r="Y315" s="88">
        <v>152.19999999999999</v>
      </c>
      <c r="Z315" s="88">
        <v>155.1</v>
      </c>
      <c r="AA315" s="88">
        <v>160.30000000000001</v>
      </c>
      <c r="AB315" s="88">
        <v>160.30000000000001</v>
      </c>
      <c r="AC315" s="88">
        <v>157</v>
      </c>
      <c r="AD315" s="88">
        <v>164.6</v>
      </c>
      <c r="AE315" s="88">
        <f t="shared" si="34"/>
        <v>2198.4000000000005</v>
      </c>
      <c r="AF315" s="88">
        <f t="shared" si="35"/>
        <v>197</v>
      </c>
      <c r="AG315" s="88">
        <f t="shared" si="36"/>
        <v>463.50000000000006</v>
      </c>
      <c r="AH315" s="88">
        <f t="shared" si="37"/>
        <v>480.09999999999997</v>
      </c>
      <c r="AI315" s="88">
        <f t="shared" si="38"/>
        <v>484.1</v>
      </c>
      <c r="AJ315" s="88">
        <f t="shared" si="39"/>
        <v>152.19999999999999</v>
      </c>
      <c r="AK315" s="88">
        <f t="shared" si="40"/>
        <v>155.1</v>
      </c>
      <c r="AL315" s="88">
        <f t="shared" si="41"/>
        <v>157</v>
      </c>
      <c r="AM315" s="89"/>
    </row>
    <row r="316" spans="1:39" x14ac:dyDescent="0.3">
      <c r="A316" s="84" t="s">
        <v>34</v>
      </c>
      <c r="B316" s="85">
        <v>2021</v>
      </c>
      <c r="C316" s="85" t="s">
        <v>43</v>
      </c>
      <c r="D316" s="85">
        <v>147.4</v>
      </c>
      <c r="E316" s="85">
        <v>204.6</v>
      </c>
      <c r="F316" s="85">
        <v>171.2</v>
      </c>
      <c r="G316" s="85">
        <v>158.69999999999999</v>
      </c>
      <c r="H316" s="85">
        <v>190.6</v>
      </c>
      <c r="I316" s="85">
        <v>155.69999999999999</v>
      </c>
      <c r="J316" s="85">
        <v>185.3</v>
      </c>
      <c r="K316" s="85">
        <v>165.2</v>
      </c>
      <c r="L316" s="85">
        <v>121.9</v>
      </c>
      <c r="M316" s="85">
        <v>169.3</v>
      </c>
      <c r="N316" s="85">
        <v>163.19999999999999</v>
      </c>
      <c r="O316" s="85">
        <v>174.7</v>
      </c>
      <c r="P316" s="85">
        <v>167.7</v>
      </c>
      <c r="Q316" s="85">
        <v>192.7</v>
      </c>
      <c r="R316" s="85">
        <v>165.7</v>
      </c>
      <c r="S316" s="85">
        <v>156.30000000000001</v>
      </c>
      <c r="T316" s="85">
        <v>164.3</v>
      </c>
      <c r="U316" s="85">
        <v>163.6</v>
      </c>
      <c r="V316" s="85">
        <v>164.2</v>
      </c>
      <c r="W316" s="85">
        <v>158.4</v>
      </c>
      <c r="X316" s="85">
        <v>169.1</v>
      </c>
      <c r="Y316" s="85">
        <v>155.69999999999999</v>
      </c>
      <c r="Z316" s="85">
        <v>158.6</v>
      </c>
      <c r="AA316" s="85">
        <v>163.9</v>
      </c>
      <c r="AB316" s="85">
        <v>160.80000000000001</v>
      </c>
      <c r="AC316" s="85">
        <v>161</v>
      </c>
      <c r="AD316" s="85">
        <v>165.5</v>
      </c>
      <c r="AE316" s="85">
        <f t="shared" si="34"/>
        <v>2175.5</v>
      </c>
      <c r="AF316" s="85">
        <f t="shared" si="35"/>
        <v>192.7</v>
      </c>
      <c r="AG316" s="85">
        <f t="shared" si="36"/>
        <v>486.3</v>
      </c>
      <c r="AH316" s="85">
        <f t="shared" si="37"/>
        <v>486.19999999999993</v>
      </c>
      <c r="AI316" s="85">
        <f t="shared" si="38"/>
        <v>493.8</v>
      </c>
      <c r="AJ316" s="85">
        <f t="shared" si="39"/>
        <v>155.69999999999999</v>
      </c>
      <c r="AK316" s="85">
        <f t="shared" si="40"/>
        <v>158.6</v>
      </c>
      <c r="AL316" s="85">
        <f t="shared" si="41"/>
        <v>161</v>
      </c>
      <c r="AM316" s="86"/>
    </row>
    <row r="317" spans="1:39" x14ac:dyDescent="0.3">
      <c r="A317" s="87" t="s">
        <v>30</v>
      </c>
      <c r="B317" s="88">
        <v>2021</v>
      </c>
      <c r="C317" s="88" t="s">
        <v>45</v>
      </c>
      <c r="D317" s="88">
        <v>146.9</v>
      </c>
      <c r="E317" s="88">
        <v>199.8</v>
      </c>
      <c r="F317" s="88">
        <v>171.5</v>
      </c>
      <c r="G317" s="88">
        <v>159.1</v>
      </c>
      <c r="H317" s="88">
        <v>198.4</v>
      </c>
      <c r="I317" s="88">
        <v>153.19999999999999</v>
      </c>
      <c r="J317" s="88">
        <v>183.9</v>
      </c>
      <c r="K317" s="88">
        <v>165.4</v>
      </c>
      <c r="L317" s="88">
        <v>122.1</v>
      </c>
      <c r="M317" s="88">
        <v>170.8</v>
      </c>
      <c r="N317" s="88">
        <v>169.1</v>
      </c>
      <c r="O317" s="88">
        <v>174.3</v>
      </c>
      <c r="P317" s="88">
        <v>167.5</v>
      </c>
      <c r="Q317" s="88">
        <v>191.4</v>
      </c>
      <c r="R317" s="88">
        <v>170.4</v>
      </c>
      <c r="S317" s="88">
        <v>166</v>
      </c>
      <c r="T317" s="88">
        <v>169.8</v>
      </c>
      <c r="U317" s="88" t="s">
        <v>32</v>
      </c>
      <c r="V317" s="88">
        <v>165.3</v>
      </c>
      <c r="W317" s="88">
        <v>162.9</v>
      </c>
      <c r="X317" s="88">
        <v>173.4</v>
      </c>
      <c r="Y317" s="88">
        <v>158.9</v>
      </c>
      <c r="Z317" s="88">
        <v>163.80000000000001</v>
      </c>
      <c r="AA317" s="88">
        <v>169.3</v>
      </c>
      <c r="AB317" s="88">
        <v>162.4</v>
      </c>
      <c r="AC317" s="88">
        <v>165.2</v>
      </c>
      <c r="AD317" s="88">
        <v>167.6</v>
      </c>
      <c r="AE317" s="88">
        <f t="shared" si="34"/>
        <v>2182</v>
      </c>
      <c r="AF317" s="88">
        <f t="shared" si="35"/>
        <v>191.4</v>
      </c>
      <c r="AG317" s="88">
        <f t="shared" si="36"/>
        <v>506.2</v>
      </c>
      <c r="AH317" s="88">
        <f t="shared" si="37"/>
        <v>328.20000000000005</v>
      </c>
      <c r="AI317" s="88">
        <f t="shared" si="38"/>
        <v>505.1</v>
      </c>
      <c r="AJ317" s="88">
        <f t="shared" si="39"/>
        <v>158.9</v>
      </c>
      <c r="AK317" s="88">
        <f t="shared" si="40"/>
        <v>163.80000000000001</v>
      </c>
      <c r="AL317" s="88">
        <f t="shared" si="41"/>
        <v>165.2</v>
      </c>
      <c r="AM317" s="89"/>
    </row>
    <row r="318" spans="1:39" x14ac:dyDescent="0.3">
      <c r="A318" s="84" t="s">
        <v>33</v>
      </c>
      <c r="B318" s="85">
        <v>2021</v>
      </c>
      <c r="C318" s="85" t="s">
        <v>45</v>
      </c>
      <c r="D318" s="85">
        <v>151</v>
      </c>
      <c r="E318" s="85">
        <v>204.9</v>
      </c>
      <c r="F318" s="85">
        <v>175.4</v>
      </c>
      <c r="G318" s="85">
        <v>159.6</v>
      </c>
      <c r="H318" s="85">
        <v>175.8</v>
      </c>
      <c r="I318" s="85">
        <v>160.30000000000001</v>
      </c>
      <c r="J318" s="85">
        <v>229.1</v>
      </c>
      <c r="K318" s="85">
        <v>165.1</v>
      </c>
      <c r="L318" s="85">
        <v>123.1</v>
      </c>
      <c r="M318" s="85">
        <v>167.2</v>
      </c>
      <c r="N318" s="85">
        <v>156.1</v>
      </c>
      <c r="O318" s="85">
        <v>176.8</v>
      </c>
      <c r="P318" s="85">
        <v>173.5</v>
      </c>
      <c r="Q318" s="85">
        <v>197</v>
      </c>
      <c r="R318" s="85">
        <v>162.30000000000001</v>
      </c>
      <c r="S318" s="85">
        <v>145.30000000000001</v>
      </c>
      <c r="T318" s="85">
        <v>159.69999999999999</v>
      </c>
      <c r="U318" s="85">
        <v>164.2</v>
      </c>
      <c r="V318" s="85">
        <v>161.6</v>
      </c>
      <c r="W318" s="85">
        <v>155.19999999999999</v>
      </c>
      <c r="X318" s="85">
        <v>164.2</v>
      </c>
      <c r="Y318" s="85">
        <v>151.19999999999999</v>
      </c>
      <c r="Z318" s="85">
        <v>156.69999999999999</v>
      </c>
      <c r="AA318" s="85">
        <v>160.80000000000001</v>
      </c>
      <c r="AB318" s="85">
        <v>161.80000000000001</v>
      </c>
      <c r="AC318" s="85">
        <v>157.30000000000001</v>
      </c>
      <c r="AD318" s="85">
        <v>165.6</v>
      </c>
      <c r="AE318" s="85">
        <f t="shared" si="34"/>
        <v>2217.8999999999996</v>
      </c>
      <c r="AF318" s="85">
        <f t="shared" si="35"/>
        <v>197</v>
      </c>
      <c r="AG318" s="85">
        <f t="shared" si="36"/>
        <v>467.3</v>
      </c>
      <c r="AH318" s="85">
        <f t="shared" si="37"/>
        <v>480.99999999999994</v>
      </c>
      <c r="AI318" s="85">
        <f t="shared" si="38"/>
        <v>486.8</v>
      </c>
      <c r="AJ318" s="85">
        <f t="shared" si="39"/>
        <v>151.19999999999999</v>
      </c>
      <c r="AK318" s="85">
        <f t="shared" si="40"/>
        <v>156.69999999999999</v>
      </c>
      <c r="AL318" s="85">
        <f t="shared" si="41"/>
        <v>157.30000000000001</v>
      </c>
      <c r="AM318" s="86"/>
    </row>
    <row r="319" spans="1:39" x14ac:dyDescent="0.3">
      <c r="A319" s="87" t="s">
        <v>34</v>
      </c>
      <c r="B319" s="88">
        <v>2021</v>
      </c>
      <c r="C319" s="88" t="s">
        <v>45</v>
      </c>
      <c r="D319" s="88">
        <v>148.19999999999999</v>
      </c>
      <c r="E319" s="88">
        <v>201.6</v>
      </c>
      <c r="F319" s="88">
        <v>173</v>
      </c>
      <c r="G319" s="88">
        <v>159.30000000000001</v>
      </c>
      <c r="H319" s="88">
        <v>190.1</v>
      </c>
      <c r="I319" s="88">
        <v>156.5</v>
      </c>
      <c r="J319" s="88">
        <v>199.2</v>
      </c>
      <c r="K319" s="88">
        <v>165.3</v>
      </c>
      <c r="L319" s="88">
        <v>122.4</v>
      </c>
      <c r="M319" s="88">
        <v>169.6</v>
      </c>
      <c r="N319" s="88">
        <v>163.69999999999999</v>
      </c>
      <c r="O319" s="88">
        <v>175.5</v>
      </c>
      <c r="P319" s="88">
        <v>169.7</v>
      </c>
      <c r="Q319" s="88">
        <v>192.9</v>
      </c>
      <c r="R319" s="88">
        <v>167.2</v>
      </c>
      <c r="S319" s="88">
        <v>157.4</v>
      </c>
      <c r="T319" s="88">
        <v>165.8</v>
      </c>
      <c r="U319" s="88">
        <v>164.2</v>
      </c>
      <c r="V319" s="88">
        <v>163.9</v>
      </c>
      <c r="W319" s="88">
        <v>159.30000000000001</v>
      </c>
      <c r="X319" s="88">
        <v>169.9</v>
      </c>
      <c r="Y319" s="88">
        <v>154.80000000000001</v>
      </c>
      <c r="Z319" s="88">
        <v>159.80000000000001</v>
      </c>
      <c r="AA319" s="88">
        <v>164.3</v>
      </c>
      <c r="AB319" s="88">
        <v>162.19999999999999</v>
      </c>
      <c r="AC319" s="88">
        <v>161.4</v>
      </c>
      <c r="AD319" s="88">
        <v>166.7</v>
      </c>
      <c r="AE319" s="88">
        <f t="shared" si="34"/>
        <v>2194.1</v>
      </c>
      <c r="AF319" s="88">
        <f t="shared" si="35"/>
        <v>192.9</v>
      </c>
      <c r="AG319" s="88">
        <f t="shared" si="36"/>
        <v>490.40000000000003</v>
      </c>
      <c r="AH319" s="88">
        <f t="shared" si="37"/>
        <v>487.40000000000003</v>
      </c>
      <c r="AI319" s="88">
        <f t="shared" si="38"/>
        <v>496.40000000000003</v>
      </c>
      <c r="AJ319" s="88">
        <f t="shared" si="39"/>
        <v>154.80000000000001</v>
      </c>
      <c r="AK319" s="88">
        <f t="shared" si="40"/>
        <v>159.80000000000001</v>
      </c>
      <c r="AL319" s="88">
        <f t="shared" si="41"/>
        <v>161.4</v>
      </c>
      <c r="AM319" s="89"/>
    </row>
    <row r="320" spans="1:39" x14ac:dyDescent="0.3">
      <c r="A320" s="84" t="s">
        <v>30</v>
      </c>
      <c r="B320" s="85">
        <v>2021</v>
      </c>
      <c r="C320" s="85" t="s">
        <v>46</v>
      </c>
      <c r="D320" s="85">
        <v>147.4</v>
      </c>
      <c r="E320" s="85">
        <v>197</v>
      </c>
      <c r="F320" s="85">
        <v>176.5</v>
      </c>
      <c r="G320" s="85">
        <v>159.80000000000001</v>
      </c>
      <c r="H320" s="85">
        <v>195.8</v>
      </c>
      <c r="I320" s="85">
        <v>152</v>
      </c>
      <c r="J320" s="85">
        <v>172.3</v>
      </c>
      <c r="K320" s="85">
        <v>164.5</v>
      </c>
      <c r="L320" s="85">
        <v>120.6</v>
      </c>
      <c r="M320" s="85">
        <v>171.7</v>
      </c>
      <c r="N320" s="85">
        <v>169.7</v>
      </c>
      <c r="O320" s="85">
        <v>175.1</v>
      </c>
      <c r="P320" s="85">
        <v>165.8</v>
      </c>
      <c r="Q320" s="85">
        <v>190.8</v>
      </c>
      <c r="R320" s="85">
        <v>171.8</v>
      </c>
      <c r="S320" s="85">
        <v>167.3</v>
      </c>
      <c r="T320" s="85">
        <v>171.2</v>
      </c>
      <c r="U320" s="85" t="s">
        <v>32</v>
      </c>
      <c r="V320" s="85">
        <v>165.6</v>
      </c>
      <c r="W320" s="85">
        <v>163.9</v>
      </c>
      <c r="X320" s="85">
        <v>174</v>
      </c>
      <c r="Y320" s="85">
        <v>160.1</v>
      </c>
      <c r="Z320" s="85">
        <v>164.5</v>
      </c>
      <c r="AA320" s="85">
        <v>169.7</v>
      </c>
      <c r="AB320" s="85">
        <v>162.80000000000001</v>
      </c>
      <c r="AC320" s="85">
        <v>166</v>
      </c>
      <c r="AD320" s="85">
        <v>167</v>
      </c>
      <c r="AE320" s="85">
        <f t="shared" si="34"/>
        <v>2168.1999999999998</v>
      </c>
      <c r="AF320" s="85">
        <f t="shared" si="35"/>
        <v>190.8</v>
      </c>
      <c r="AG320" s="85">
        <f t="shared" si="36"/>
        <v>510.3</v>
      </c>
      <c r="AH320" s="85">
        <f t="shared" si="37"/>
        <v>329.5</v>
      </c>
      <c r="AI320" s="85">
        <f t="shared" si="38"/>
        <v>506.5</v>
      </c>
      <c r="AJ320" s="85">
        <f t="shared" si="39"/>
        <v>160.1</v>
      </c>
      <c r="AK320" s="85">
        <f t="shared" si="40"/>
        <v>164.5</v>
      </c>
      <c r="AL320" s="85">
        <f t="shared" si="41"/>
        <v>166</v>
      </c>
      <c r="AM320" s="86"/>
    </row>
    <row r="321" spans="1:39" x14ac:dyDescent="0.3">
      <c r="A321" s="87" t="s">
        <v>33</v>
      </c>
      <c r="B321" s="88">
        <v>2021</v>
      </c>
      <c r="C321" s="88" t="s">
        <v>46</v>
      </c>
      <c r="D321" s="88">
        <v>151.6</v>
      </c>
      <c r="E321" s="88">
        <v>202.2</v>
      </c>
      <c r="F321" s="88">
        <v>180</v>
      </c>
      <c r="G321" s="88">
        <v>160</v>
      </c>
      <c r="H321" s="88">
        <v>173.5</v>
      </c>
      <c r="I321" s="88">
        <v>158.30000000000001</v>
      </c>
      <c r="J321" s="88">
        <v>219.5</v>
      </c>
      <c r="K321" s="88">
        <v>164.2</v>
      </c>
      <c r="L321" s="88">
        <v>121.9</v>
      </c>
      <c r="M321" s="88">
        <v>168.2</v>
      </c>
      <c r="N321" s="88">
        <v>156.5</v>
      </c>
      <c r="O321" s="88">
        <v>178.2</v>
      </c>
      <c r="P321" s="88">
        <v>172.2</v>
      </c>
      <c r="Q321" s="88">
        <v>196.8</v>
      </c>
      <c r="R321" s="88">
        <v>163.30000000000001</v>
      </c>
      <c r="S321" s="88">
        <v>146.69999999999999</v>
      </c>
      <c r="T321" s="88">
        <v>160.69999999999999</v>
      </c>
      <c r="U321" s="88">
        <v>163.4</v>
      </c>
      <c r="V321" s="88">
        <v>161.69999999999999</v>
      </c>
      <c r="W321" s="88">
        <v>156</v>
      </c>
      <c r="X321" s="88">
        <v>165.1</v>
      </c>
      <c r="Y321" s="88">
        <v>151.80000000000001</v>
      </c>
      <c r="Z321" s="88">
        <v>157.6</v>
      </c>
      <c r="AA321" s="88">
        <v>160.6</v>
      </c>
      <c r="AB321" s="88">
        <v>162.4</v>
      </c>
      <c r="AC321" s="88">
        <v>157.80000000000001</v>
      </c>
      <c r="AD321" s="88">
        <v>165.2</v>
      </c>
      <c r="AE321" s="88">
        <f t="shared" si="34"/>
        <v>2206.3000000000002</v>
      </c>
      <c r="AF321" s="88">
        <f t="shared" si="35"/>
        <v>196.8</v>
      </c>
      <c r="AG321" s="88">
        <f t="shared" si="36"/>
        <v>470.7</v>
      </c>
      <c r="AH321" s="88">
        <f t="shared" si="37"/>
        <v>481.1</v>
      </c>
      <c r="AI321" s="88">
        <f t="shared" si="38"/>
        <v>488.1</v>
      </c>
      <c r="AJ321" s="88">
        <f t="shared" si="39"/>
        <v>151.80000000000001</v>
      </c>
      <c r="AK321" s="88">
        <f t="shared" si="40"/>
        <v>157.6</v>
      </c>
      <c r="AL321" s="88">
        <f t="shared" si="41"/>
        <v>157.80000000000001</v>
      </c>
      <c r="AM321" s="89"/>
    </row>
    <row r="322" spans="1:39" x14ac:dyDescent="0.3">
      <c r="A322" s="84" t="s">
        <v>34</v>
      </c>
      <c r="B322" s="85">
        <v>2021</v>
      </c>
      <c r="C322" s="85" t="s">
        <v>46</v>
      </c>
      <c r="D322" s="85">
        <v>148.69999999999999</v>
      </c>
      <c r="E322" s="85">
        <v>198.8</v>
      </c>
      <c r="F322" s="85">
        <v>177.9</v>
      </c>
      <c r="G322" s="85">
        <v>159.9</v>
      </c>
      <c r="H322" s="85">
        <v>187.6</v>
      </c>
      <c r="I322" s="85">
        <v>154.9</v>
      </c>
      <c r="J322" s="85">
        <v>188.3</v>
      </c>
      <c r="K322" s="85">
        <v>164.4</v>
      </c>
      <c r="L322" s="85">
        <v>121</v>
      </c>
      <c r="M322" s="85">
        <v>170.5</v>
      </c>
      <c r="N322" s="85">
        <v>164.2</v>
      </c>
      <c r="O322" s="85">
        <v>176.5</v>
      </c>
      <c r="P322" s="85">
        <v>168.2</v>
      </c>
      <c r="Q322" s="85">
        <v>192.4</v>
      </c>
      <c r="R322" s="85">
        <v>168.5</v>
      </c>
      <c r="S322" s="85">
        <v>158.69999999999999</v>
      </c>
      <c r="T322" s="85">
        <v>167</v>
      </c>
      <c r="U322" s="85">
        <v>163.4</v>
      </c>
      <c r="V322" s="85">
        <v>164.1</v>
      </c>
      <c r="W322" s="85">
        <v>160.19999999999999</v>
      </c>
      <c r="X322" s="85">
        <v>170.6</v>
      </c>
      <c r="Y322" s="85">
        <v>155.69999999999999</v>
      </c>
      <c r="Z322" s="85">
        <v>160.6</v>
      </c>
      <c r="AA322" s="85">
        <v>164.4</v>
      </c>
      <c r="AB322" s="85">
        <v>162.6</v>
      </c>
      <c r="AC322" s="85">
        <v>162</v>
      </c>
      <c r="AD322" s="85">
        <v>166.2</v>
      </c>
      <c r="AE322" s="85">
        <f t="shared" si="34"/>
        <v>2180.9</v>
      </c>
      <c r="AF322" s="85">
        <f t="shared" si="35"/>
        <v>192.4</v>
      </c>
      <c r="AG322" s="85">
        <f t="shared" si="36"/>
        <v>494.2</v>
      </c>
      <c r="AH322" s="85">
        <f t="shared" si="37"/>
        <v>487.7</v>
      </c>
      <c r="AI322" s="85">
        <f t="shared" si="38"/>
        <v>497.6</v>
      </c>
      <c r="AJ322" s="85">
        <f t="shared" si="39"/>
        <v>155.69999999999999</v>
      </c>
      <c r="AK322" s="85">
        <f t="shared" si="40"/>
        <v>160.6</v>
      </c>
      <c r="AL322" s="85">
        <f t="shared" si="41"/>
        <v>162</v>
      </c>
      <c r="AM322" s="86"/>
    </row>
    <row r="323" spans="1:39" x14ac:dyDescent="0.3">
      <c r="A323" s="87" t="s">
        <v>30</v>
      </c>
      <c r="B323" s="88">
        <v>2022</v>
      </c>
      <c r="C323" s="88" t="s">
        <v>31</v>
      </c>
      <c r="D323" s="88">
        <v>148.30000000000001</v>
      </c>
      <c r="E323" s="88">
        <v>196.9</v>
      </c>
      <c r="F323" s="88">
        <v>178</v>
      </c>
      <c r="G323" s="88">
        <v>160.5</v>
      </c>
      <c r="H323" s="88">
        <v>192.6</v>
      </c>
      <c r="I323" s="88">
        <v>151.19999999999999</v>
      </c>
      <c r="J323" s="88">
        <v>159.19999999999999</v>
      </c>
      <c r="K323" s="88">
        <v>164</v>
      </c>
      <c r="L323" s="88">
        <v>119.3</v>
      </c>
      <c r="M323" s="88">
        <v>173.3</v>
      </c>
      <c r="N323" s="88">
        <v>169.8</v>
      </c>
      <c r="O323" s="88">
        <v>175.8</v>
      </c>
      <c r="P323" s="88">
        <v>164.1</v>
      </c>
      <c r="Q323" s="88">
        <v>190.7</v>
      </c>
      <c r="R323" s="88">
        <v>173.2</v>
      </c>
      <c r="S323" s="88">
        <v>169.3</v>
      </c>
      <c r="T323" s="88">
        <v>172.7</v>
      </c>
      <c r="U323" s="88" t="s">
        <v>32</v>
      </c>
      <c r="V323" s="88">
        <v>165.8</v>
      </c>
      <c r="W323" s="88">
        <v>164.9</v>
      </c>
      <c r="X323" s="88">
        <v>174.7</v>
      </c>
      <c r="Y323" s="88">
        <v>160.80000000000001</v>
      </c>
      <c r="Z323" s="88">
        <v>164.9</v>
      </c>
      <c r="AA323" s="88">
        <v>169.9</v>
      </c>
      <c r="AB323" s="88">
        <v>163.19999999999999</v>
      </c>
      <c r="AC323" s="88">
        <v>166.6</v>
      </c>
      <c r="AD323" s="88">
        <v>166.4</v>
      </c>
      <c r="AE323" s="88">
        <f t="shared" ref="AE323:AE373" si="42">SUM(D323:P323)</f>
        <v>2153</v>
      </c>
      <c r="AF323" s="88">
        <f t="shared" ref="AF323:AF373" si="43">SUM(Q323)</f>
        <v>190.7</v>
      </c>
      <c r="AG323" s="88">
        <f t="shared" ref="AG323:AG373" si="44">SUM(R323:T323)</f>
        <v>515.20000000000005</v>
      </c>
      <c r="AH323" s="88">
        <f t="shared" ref="AH323:AH373" si="45">SUM(U323:W323)</f>
        <v>330.70000000000005</v>
      </c>
      <c r="AI323" s="88">
        <f t="shared" ref="AI323:AI373" si="46">SUM(X323,AA323,AB323)</f>
        <v>507.8</v>
      </c>
      <c r="AJ323" s="88">
        <f t="shared" ref="AJ323:AJ373" si="47">SUM(Y323)</f>
        <v>160.80000000000001</v>
      </c>
      <c r="AK323" s="88">
        <f t="shared" ref="AK323:AK373" si="48">SUM(Z323)</f>
        <v>164.9</v>
      </c>
      <c r="AL323" s="88">
        <f t="shared" ref="AL323:AL373" si="49">SUM(AC323)</f>
        <v>166.6</v>
      </c>
      <c r="AM323" s="89"/>
    </row>
    <row r="324" spans="1:39" x14ac:dyDescent="0.3">
      <c r="A324" s="84" t="s">
        <v>33</v>
      </c>
      <c r="B324" s="85">
        <v>2022</v>
      </c>
      <c r="C324" s="85" t="s">
        <v>31</v>
      </c>
      <c r="D324" s="85">
        <v>152.19999999999999</v>
      </c>
      <c r="E324" s="85">
        <v>202.1</v>
      </c>
      <c r="F324" s="85">
        <v>180.1</v>
      </c>
      <c r="G324" s="85">
        <v>160.4</v>
      </c>
      <c r="H324" s="85">
        <v>171</v>
      </c>
      <c r="I324" s="85">
        <v>156.5</v>
      </c>
      <c r="J324" s="85">
        <v>203.6</v>
      </c>
      <c r="K324" s="85">
        <v>163.80000000000001</v>
      </c>
      <c r="L324" s="85">
        <v>121.3</v>
      </c>
      <c r="M324" s="85">
        <v>169.8</v>
      </c>
      <c r="N324" s="85">
        <v>156.6</v>
      </c>
      <c r="O324" s="85">
        <v>179</v>
      </c>
      <c r="P324" s="85">
        <v>170.3</v>
      </c>
      <c r="Q324" s="85">
        <v>196.4</v>
      </c>
      <c r="R324" s="85">
        <v>164.7</v>
      </c>
      <c r="S324" s="85">
        <v>148.5</v>
      </c>
      <c r="T324" s="85">
        <v>162.19999999999999</v>
      </c>
      <c r="U324" s="85">
        <v>164.5</v>
      </c>
      <c r="V324" s="85">
        <v>161.6</v>
      </c>
      <c r="W324" s="85">
        <v>156.80000000000001</v>
      </c>
      <c r="X324" s="85">
        <v>166.1</v>
      </c>
      <c r="Y324" s="85">
        <v>152.69999999999999</v>
      </c>
      <c r="Z324" s="85">
        <v>158.4</v>
      </c>
      <c r="AA324" s="85">
        <v>161</v>
      </c>
      <c r="AB324" s="85">
        <v>162.80000000000001</v>
      </c>
      <c r="AC324" s="85">
        <v>158.6</v>
      </c>
      <c r="AD324" s="85">
        <v>165</v>
      </c>
      <c r="AE324" s="85">
        <f t="shared" si="42"/>
        <v>2186.6999999999998</v>
      </c>
      <c r="AF324" s="85">
        <f t="shared" si="43"/>
        <v>196.4</v>
      </c>
      <c r="AG324" s="85">
        <f t="shared" si="44"/>
        <v>475.4</v>
      </c>
      <c r="AH324" s="85">
        <f t="shared" si="45"/>
        <v>482.90000000000003</v>
      </c>
      <c r="AI324" s="85">
        <f t="shared" si="46"/>
        <v>489.90000000000003</v>
      </c>
      <c r="AJ324" s="85">
        <f t="shared" si="47"/>
        <v>152.69999999999999</v>
      </c>
      <c r="AK324" s="85">
        <f t="shared" si="48"/>
        <v>158.4</v>
      </c>
      <c r="AL324" s="85">
        <f t="shared" si="49"/>
        <v>158.6</v>
      </c>
      <c r="AM324" s="86"/>
    </row>
    <row r="325" spans="1:39" x14ac:dyDescent="0.3">
      <c r="A325" s="87" t="s">
        <v>34</v>
      </c>
      <c r="B325" s="88">
        <v>2022</v>
      </c>
      <c r="C325" s="88" t="s">
        <v>31</v>
      </c>
      <c r="D325" s="88">
        <v>149.5</v>
      </c>
      <c r="E325" s="88">
        <v>198.7</v>
      </c>
      <c r="F325" s="88">
        <v>178.8</v>
      </c>
      <c r="G325" s="88">
        <v>160.5</v>
      </c>
      <c r="H325" s="88">
        <v>184.7</v>
      </c>
      <c r="I325" s="88">
        <v>153.69999999999999</v>
      </c>
      <c r="J325" s="88">
        <v>174.3</v>
      </c>
      <c r="K325" s="88">
        <v>163.9</v>
      </c>
      <c r="L325" s="88">
        <v>120</v>
      </c>
      <c r="M325" s="88">
        <v>172.1</v>
      </c>
      <c r="N325" s="88">
        <v>164.3</v>
      </c>
      <c r="O325" s="88">
        <v>177.3</v>
      </c>
      <c r="P325" s="88">
        <v>166.4</v>
      </c>
      <c r="Q325" s="88">
        <v>192.2</v>
      </c>
      <c r="R325" s="88">
        <v>169.9</v>
      </c>
      <c r="S325" s="88">
        <v>160.69999999999999</v>
      </c>
      <c r="T325" s="88">
        <v>168.5</v>
      </c>
      <c r="U325" s="88">
        <v>164.5</v>
      </c>
      <c r="V325" s="88">
        <v>164.2</v>
      </c>
      <c r="W325" s="88">
        <v>161.1</v>
      </c>
      <c r="X325" s="88">
        <v>171.4</v>
      </c>
      <c r="Y325" s="88">
        <v>156.5</v>
      </c>
      <c r="Z325" s="88">
        <v>161.19999999999999</v>
      </c>
      <c r="AA325" s="88">
        <v>164.7</v>
      </c>
      <c r="AB325" s="88">
        <v>163</v>
      </c>
      <c r="AC325" s="88">
        <v>162.69999999999999</v>
      </c>
      <c r="AD325" s="88">
        <v>165.7</v>
      </c>
      <c r="AE325" s="88">
        <f t="shared" si="42"/>
        <v>2164.1999999999998</v>
      </c>
      <c r="AF325" s="88">
        <f t="shared" si="43"/>
        <v>192.2</v>
      </c>
      <c r="AG325" s="88">
        <f t="shared" si="44"/>
        <v>499.1</v>
      </c>
      <c r="AH325" s="88">
        <f t="shared" si="45"/>
        <v>489.79999999999995</v>
      </c>
      <c r="AI325" s="88">
        <f t="shared" si="46"/>
        <v>499.1</v>
      </c>
      <c r="AJ325" s="88">
        <f t="shared" si="47"/>
        <v>156.5</v>
      </c>
      <c r="AK325" s="88">
        <f t="shared" si="48"/>
        <v>161.19999999999999</v>
      </c>
      <c r="AL325" s="88">
        <f t="shared" si="49"/>
        <v>162.69999999999999</v>
      </c>
      <c r="AM325" s="89"/>
    </row>
    <row r="326" spans="1:39" x14ac:dyDescent="0.3">
      <c r="A326" s="84" t="s">
        <v>30</v>
      </c>
      <c r="B326" s="85">
        <v>2022</v>
      </c>
      <c r="C326" s="85" t="s">
        <v>35</v>
      </c>
      <c r="D326" s="85">
        <v>148.80000000000001</v>
      </c>
      <c r="E326" s="85">
        <v>198.1</v>
      </c>
      <c r="F326" s="85">
        <v>175.5</v>
      </c>
      <c r="G326" s="85">
        <v>160.69999999999999</v>
      </c>
      <c r="H326" s="85">
        <v>192.6</v>
      </c>
      <c r="I326" s="85">
        <v>151.4</v>
      </c>
      <c r="J326" s="85">
        <v>155.19999999999999</v>
      </c>
      <c r="K326" s="85">
        <v>163.9</v>
      </c>
      <c r="L326" s="85">
        <v>118.1</v>
      </c>
      <c r="M326" s="85">
        <v>175.4</v>
      </c>
      <c r="N326" s="85">
        <v>170.5</v>
      </c>
      <c r="O326" s="85">
        <v>176.3</v>
      </c>
      <c r="P326" s="85">
        <v>163.9</v>
      </c>
      <c r="Q326" s="85">
        <v>191.5</v>
      </c>
      <c r="R326" s="85">
        <v>174.1</v>
      </c>
      <c r="S326" s="85">
        <v>171</v>
      </c>
      <c r="T326" s="85">
        <v>173.7</v>
      </c>
      <c r="U326" s="85" t="s">
        <v>32</v>
      </c>
      <c r="V326" s="85">
        <v>167.4</v>
      </c>
      <c r="W326" s="85">
        <v>165.7</v>
      </c>
      <c r="X326" s="85">
        <v>175.3</v>
      </c>
      <c r="Y326" s="85">
        <v>161.19999999999999</v>
      </c>
      <c r="Z326" s="85">
        <v>165.5</v>
      </c>
      <c r="AA326" s="85">
        <v>170.3</v>
      </c>
      <c r="AB326" s="85">
        <v>164.5</v>
      </c>
      <c r="AC326" s="85">
        <v>167.3</v>
      </c>
      <c r="AD326" s="85">
        <v>166.7</v>
      </c>
      <c r="AE326" s="85">
        <f t="shared" si="42"/>
        <v>2150.4</v>
      </c>
      <c r="AF326" s="85">
        <f t="shared" si="43"/>
        <v>191.5</v>
      </c>
      <c r="AG326" s="85">
        <f t="shared" si="44"/>
        <v>518.79999999999995</v>
      </c>
      <c r="AH326" s="85">
        <f t="shared" si="45"/>
        <v>333.1</v>
      </c>
      <c r="AI326" s="85">
        <f t="shared" si="46"/>
        <v>510.1</v>
      </c>
      <c r="AJ326" s="85">
        <f t="shared" si="47"/>
        <v>161.19999999999999</v>
      </c>
      <c r="AK326" s="85">
        <f t="shared" si="48"/>
        <v>165.5</v>
      </c>
      <c r="AL326" s="85">
        <f t="shared" si="49"/>
        <v>167.3</v>
      </c>
      <c r="AM326" s="86"/>
    </row>
    <row r="327" spans="1:39" x14ac:dyDescent="0.3">
      <c r="A327" s="87" t="s">
        <v>33</v>
      </c>
      <c r="B327" s="88">
        <v>2022</v>
      </c>
      <c r="C327" s="88" t="s">
        <v>35</v>
      </c>
      <c r="D327" s="88">
        <v>152.5</v>
      </c>
      <c r="E327" s="88">
        <v>205.2</v>
      </c>
      <c r="F327" s="88">
        <v>176.4</v>
      </c>
      <c r="G327" s="88">
        <v>160.6</v>
      </c>
      <c r="H327" s="88">
        <v>171.5</v>
      </c>
      <c r="I327" s="88">
        <v>156.4</v>
      </c>
      <c r="J327" s="88">
        <v>198</v>
      </c>
      <c r="K327" s="88">
        <v>163.19999999999999</v>
      </c>
      <c r="L327" s="88">
        <v>120.6</v>
      </c>
      <c r="M327" s="88">
        <v>172.2</v>
      </c>
      <c r="N327" s="88">
        <v>156.69999999999999</v>
      </c>
      <c r="O327" s="88">
        <v>180</v>
      </c>
      <c r="P327" s="88">
        <v>170.2</v>
      </c>
      <c r="Q327" s="88">
        <v>196.5</v>
      </c>
      <c r="R327" s="88">
        <v>165.7</v>
      </c>
      <c r="S327" s="88">
        <v>150.4</v>
      </c>
      <c r="T327" s="88">
        <v>163.4</v>
      </c>
      <c r="U327" s="88">
        <v>165.5</v>
      </c>
      <c r="V327" s="88">
        <v>163</v>
      </c>
      <c r="W327" s="88">
        <v>157.4</v>
      </c>
      <c r="X327" s="88">
        <v>167.2</v>
      </c>
      <c r="Y327" s="88">
        <v>153.1</v>
      </c>
      <c r="Z327" s="88">
        <v>159.5</v>
      </c>
      <c r="AA327" s="88">
        <v>162</v>
      </c>
      <c r="AB327" s="88">
        <v>164.2</v>
      </c>
      <c r="AC327" s="88">
        <v>159.4</v>
      </c>
      <c r="AD327" s="88">
        <v>165.5</v>
      </c>
      <c r="AE327" s="88">
        <f t="shared" si="42"/>
        <v>2183.5</v>
      </c>
      <c r="AF327" s="88">
        <f t="shared" si="43"/>
        <v>196.5</v>
      </c>
      <c r="AG327" s="88">
        <f t="shared" si="44"/>
        <v>479.5</v>
      </c>
      <c r="AH327" s="88">
        <f t="shared" si="45"/>
        <v>485.9</v>
      </c>
      <c r="AI327" s="88">
        <f t="shared" si="46"/>
        <v>493.4</v>
      </c>
      <c r="AJ327" s="88">
        <f t="shared" si="47"/>
        <v>153.1</v>
      </c>
      <c r="AK327" s="88">
        <f t="shared" si="48"/>
        <v>159.5</v>
      </c>
      <c r="AL327" s="88">
        <f t="shared" si="49"/>
        <v>159.4</v>
      </c>
      <c r="AM327" s="89"/>
    </row>
    <row r="328" spans="1:39" x14ac:dyDescent="0.3">
      <c r="A328" s="84" t="s">
        <v>34</v>
      </c>
      <c r="B328" s="85">
        <v>2022</v>
      </c>
      <c r="C328" s="85" t="s">
        <v>35</v>
      </c>
      <c r="D328" s="85">
        <v>150</v>
      </c>
      <c r="E328" s="85">
        <v>200.6</v>
      </c>
      <c r="F328" s="85">
        <v>175.8</v>
      </c>
      <c r="G328" s="85">
        <v>160.69999999999999</v>
      </c>
      <c r="H328" s="85">
        <v>184.9</v>
      </c>
      <c r="I328" s="85">
        <v>153.69999999999999</v>
      </c>
      <c r="J328" s="85">
        <v>169.7</v>
      </c>
      <c r="K328" s="85">
        <v>163.69999999999999</v>
      </c>
      <c r="L328" s="85">
        <v>118.9</v>
      </c>
      <c r="M328" s="85">
        <v>174.3</v>
      </c>
      <c r="N328" s="85">
        <v>164.7</v>
      </c>
      <c r="O328" s="85">
        <v>178</v>
      </c>
      <c r="P328" s="85">
        <v>166.2</v>
      </c>
      <c r="Q328" s="85">
        <v>192.8</v>
      </c>
      <c r="R328" s="85">
        <v>170.8</v>
      </c>
      <c r="S328" s="85">
        <v>162.4</v>
      </c>
      <c r="T328" s="85">
        <v>169.6</v>
      </c>
      <c r="U328" s="85">
        <v>165.5</v>
      </c>
      <c r="V328" s="85">
        <v>165.7</v>
      </c>
      <c r="W328" s="85">
        <v>161.80000000000001</v>
      </c>
      <c r="X328" s="85">
        <v>172.2</v>
      </c>
      <c r="Y328" s="85">
        <v>156.9</v>
      </c>
      <c r="Z328" s="85">
        <v>162.1</v>
      </c>
      <c r="AA328" s="85">
        <v>165.4</v>
      </c>
      <c r="AB328" s="85">
        <v>164.4</v>
      </c>
      <c r="AC328" s="85">
        <v>163.5</v>
      </c>
      <c r="AD328" s="85">
        <v>166.1</v>
      </c>
      <c r="AE328" s="85">
        <f t="shared" si="42"/>
        <v>2161.2000000000003</v>
      </c>
      <c r="AF328" s="85">
        <f t="shared" si="43"/>
        <v>192.8</v>
      </c>
      <c r="AG328" s="85">
        <f t="shared" si="44"/>
        <v>502.80000000000007</v>
      </c>
      <c r="AH328" s="85">
        <f t="shared" si="45"/>
        <v>493</v>
      </c>
      <c r="AI328" s="85">
        <f t="shared" si="46"/>
        <v>502</v>
      </c>
      <c r="AJ328" s="85">
        <f t="shared" si="47"/>
        <v>156.9</v>
      </c>
      <c r="AK328" s="85">
        <f t="shared" si="48"/>
        <v>162.1</v>
      </c>
      <c r="AL328" s="85">
        <f t="shared" si="49"/>
        <v>163.5</v>
      </c>
      <c r="AM328" s="86"/>
    </row>
    <row r="329" spans="1:39" x14ac:dyDescent="0.3">
      <c r="A329" s="87" t="s">
        <v>30</v>
      </c>
      <c r="B329" s="88">
        <v>2022</v>
      </c>
      <c r="C329" s="88" t="s">
        <v>36</v>
      </c>
      <c r="D329" s="88">
        <v>150.19999999999999</v>
      </c>
      <c r="E329" s="88">
        <v>208</v>
      </c>
      <c r="F329" s="88">
        <v>167.9</v>
      </c>
      <c r="G329" s="88">
        <v>162</v>
      </c>
      <c r="H329" s="88">
        <v>203.1</v>
      </c>
      <c r="I329" s="88">
        <v>155.9</v>
      </c>
      <c r="J329" s="88">
        <v>155.80000000000001</v>
      </c>
      <c r="K329" s="88">
        <v>164.2</v>
      </c>
      <c r="L329" s="88">
        <v>118.1</v>
      </c>
      <c r="M329" s="88">
        <v>178.7</v>
      </c>
      <c r="N329" s="88">
        <v>171.2</v>
      </c>
      <c r="O329" s="88">
        <v>177.4</v>
      </c>
      <c r="P329" s="88">
        <v>166.6</v>
      </c>
      <c r="Q329" s="88">
        <v>192.3</v>
      </c>
      <c r="R329" s="88">
        <v>175.4</v>
      </c>
      <c r="S329" s="88">
        <v>173.2</v>
      </c>
      <c r="T329" s="88">
        <v>175.1</v>
      </c>
      <c r="U329" s="88" t="s">
        <v>32</v>
      </c>
      <c r="V329" s="88">
        <v>168.9</v>
      </c>
      <c r="W329" s="88">
        <v>166.5</v>
      </c>
      <c r="X329" s="88">
        <v>176</v>
      </c>
      <c r="Y329" s="88">
        <v>162</v>
      </c>
      <c r="Z329" s="88">
        <v>166.6</v>
      </c>
      <c r="AA329" s="88">
        <v>170.6</v>
      </c>
      <c r="AB329" s="88">
        <v>167.4</v>
      </c>
      <c r="AC329" s="88">
        <v>168.3</v>
      </c>
      <c r="AD329" s="88">
        <v>168.7</v>
      </c>
      <c r="AE329" s="88">
        <f t="shared" si="42"/>
        <v>2179.1000000000004</v>
      </c>
      <c r="AF329" s="88">
        <f t="shared" si="43"/>
        <v>192.3</v>
      </c>
      <c r="AG329" s="88">
        <f t="shared" si="44"/>
        <v>523.70000000000005</v>
      </c>
      <c r="AH329" s="88">
        <f t="shared" si="45"/>
        <v>335.4</v>
      </c>
      <c r="AI329" s="88">
        <f t="shared" si="46"/>
        <v>514</v>
      </c>
      <c r="AJ329" s="88">
        <f t="shared" si="47"/>
        <v>162</v>
      </c>
      <c r="AK329" s="88">
        <f t="shared" si="48"/>
        <v>166.6</v>
      </c>
      <c r="AL329" s="88">
        <f t="shared" si="49"/>
        <v>168.3</v>
      </c>
      <c r="AM329" s="89"/>
    </row>
    <row r="330" spans="1:39" x14ac:dyDescent="0.3">
      <c r="A330" s="84" t="s">
        <v>33</v>
      </c>
      <c r="B330" s="85">
        <v>2022</v>
      </c>
      <c r="C330" s="85" t="s">
        <v>36</v>
      </c>
      <c r="D330" s="85">
        <v>153.69999999999999</v>
      </c>
      <c r="E330" s="85">
        <v>215.8</v>
      </c>
      <c r="F330" s="85">
        <v>167.7</v>
      </c>
      <c r="G330" s="85">
        <v>162.6</v>
      </c>
      <c r="H330" s="85">
        <v>180</v>
      </c>
      <c r="I330" s="85">
        <v>159.6</v>
      </c>
      <c r="J330" s="85">
        <v>188.4</v>
      </c>
      <c r="K330" s="85">
        <v>163.4</v>
      </c>
      <c r="L330" s="85">
        <v>120.3</v>
      </c>
      <c r="M330" s="85">
        <v>174.7</v>
      </c>
      <c r="N330" s="85">
        <v>157.1</v>
      </c>
      <c r="O330" s="85">
        <v>181.5</v>
      </c>
      <c r="P330" s="85">
        <v>171.5</v>
      </c>
      <c r="Q330" s="85">
        <v>197.5</v>
      </c>
      <c r="R330" s="85">
        <v>167.1</v>
      </c>
      <c r="S330" s="85">
        <v>152.6</v>
      </c>
      <c r="T330" s="85">
        <v>164.9</v>
      </c>
      <c r="U330" s="85">
        <v>165.3</v>
      </c>
      <c r="V330" s="85">
        <v>164.5</v>
      </c>
      <c r="W330" s="85">
        <v>158.6</v>
      </c>
      <c r="X330" s="85">
        <v>168.2</v>
      </c>
      <c r="Y330" s="85">
        <v>154.19999999999999</v>
      </c>
      <c r="Z330" s="85">
        <v>160.80000000000001</v>
      </c>
      <c r="AA330" s="85">
        <v>162.69999999999999</v>
      </c>
      <c r="AB330" s="85">
        <v>166.8</v>
      </c>
      <c r="AC330" s="85">
        <v>160.6</v>
      </c>
      <c r="AD330" s="85">
        <v>166.5</v>
      </c>
      <c r="AE330" s="85">
        <f t="shared" si="42"/>
        <v>2196.3000000000002</v>
      </c>
      <c r="AF330" s="85">
        <f t="shared" si="43"/>
        <v>197.5</v>
      </c>
      <c r="AG330" s="85">
        <f t="shared" si="44"/>
        <v>484.6</v>
      </c>
      <c r="AH330" s="85">
        <f t="shared" si="45"/>
        <v>488.4</v>
      </c>
      <c r="AI330" s="85">
        <f t="shared" si="46"/>
        <v>497.7</v>
      </c>
      <c r="AJ330" s="85">
        <f t="shared" si="47"/>
        <v>154.19999999999999</v>
      </c>
      <c r="AK330" s="85">
        <f t="shared" si="48"/>
        <v>160.80000000000001</v>
      </c>
      <c r="AL330" s="85">
        <f t="shared" si="49"/>
        <v>160.6</v>
      </c>
      <c r="AM330" s="86"/>
    </row>
    <row r="331" spans="1:39" x14ac:dyDescent="0.3">
      <c r="A331" s="87" t="s">
        <v>34</v>
      </c>
      <c r="B331" s="88">
        <v>2022</v>
      </c>
      <c r="C331" s="88" t="s">
        <v>36</v>
      </c>
      <c r="D331" s="88">
        <v>151.30000000000001</v>
      </c>
      <c r="E331" s="88">
        <v>210.7</v>
      </c>
      <c r="F331" s="88">
        <v>167.8</v>
      </c>
      <c r="G331" s="88">
        <v>162.19999999999999</v>
      </c>
      <c r="H331" s="88">
        <v>194.6</v>
      </c>
      <c r="I331" s="88">
        <v>157.6</v>
      </c>
      <c r="J331" s="88">
        <v>166.9</v>
      </c>
      <c r="K331" s="88">
        <v>163.9</v>
      </c>
      <c r="L331" s="88">
        <v>118.8</v>
      </c>
      <c r="M331" s="88">
        <v>177.4</v>
      </c>
      <c r="N331" s="88">
        <v>165.3</v>
      </c>
      <c r="O331" s="88">
        <v>179.3</v>
      </c>
      <c r="P331" s="88">
        <v>168.4</v>
      </c>
      <c r="Q331" s="88">
        <v>193.7</v>
      </c>
      <c r="R331" s="88">
        <v>172.1</v>
      </c>
      <c r="S331" s="88">
        <v>164.6</v>
      </c>
      <c r="T331" s="88">
        <v>171.1</v>
      </c>
      <c r="U331" s="88">
        <v>165.3</v>
      </c>
      <c r="V331" s="88">
        <v>167.2</v>
      </c>
      <c r="W331" s="88">
        <v>162.80000000000001</v>
      </c>
      <c r="X331" s="88">
        <v>173</v>
      </c>
      <c r="Y331" s="88">
        <v>157.9</v>
      </c>
      <c r="Z331" s="88">
        <v>163.30000000000001</v>
      </c>
      <c r="AA331" s="88">
        <v>166</v>
      </c>
      <c r="AB331" s="88">
        <v>167.2</v>
      </c>
      <c r="AC331" s="88">
        <v>164.6</v>
      </c>
      <c r="AD331" s="88">
        <v>167.7</v>
      </c>
      <c r="AE331" s="88">
        <f t="shared" si="42"/>
        <v>2184.2000000000003</v>
      </c>
      <c r="AF331" s="88">
        <f t="shared" si="43"/>
        <v>193.7</v>
      </c>
      <c r="AG331" s="88">
        <f t="shared" si="44"/>
        <v>507.79999999999995</v>
      </c>
      <c r="AH331" s="88">
        <f t="shared" si="45"/>
        <v>495.3</v>
      </c>
      <c r="AI331" s="88">
        <f t="shared" si="46"/>
        <v>506.2</v>
      </c>
      <c r="AJ331" s="88">
        <f t="shared" si="47"/>
        <v>157.9</v>
      </c>
      <c r="AK331" s="88">
        <f t="shared" si="48"/>
        <v>163.30000000000001</v>
      </c>
      <c r="AL331" s="88">
        <f t="shared" si="49"/>
        <v>164.6</v>
      </c>
      <c r="AM331" s="89"/>
    </row>
    <row r="332" spans="1:39" x14ac:dyDescent="0.3">
      <c r="A332" s="84" t="s">
        <v>30</v>
      </c>
      <c r="B332" s="85">
        <v>2022</v>
      </c>
      <c r="C332" s="85" t="s">
        <v>37</v>
      </c>
      <c r="D332" s="85">
        <v>151.80000000000001</v>
      </c>
      <c r="E332" s="85">
        <v>209.7</v>
      </c>
      <c r="F332" s="85">
        <v>164.5</v>
      </c>
      <c r="G332" s="85">
        <v>163.80000000000001</v>
      </c>
      <c r="H332" s="85">
        <v>207.4</v>
      </c>
      <c r="I332" s="85">
        <v>169.7</v>
      </c>
      <c r="J332" s="85">
        <v>153.6</v>
      </c>
      <c r="K332" s="85">
        <v>165.1</v>
      </c>
      <c r="L332" s="85">
        <v>118.2</v>
      </c>
      <c r="M332" s="85">
        <v>182.9</v>
      </c>
      <c r="N332" s="85">
        <v>172.4</v>
      </c>
      <c r="O332" s="85">
        <v>178.9</v>
      </c>
      <c r="P332" s="85">
        <v>168.6</v>
      </c>
      <c r="Q332" s="85">
        <v>192.8</v>
      </c>
      <c r="R332" s="85">
        <v>177.5</v>
      </c>
      <c r="S332" s="85">
        <v>175.1</v>
      </c>
      <c r="T332" s="85">
        <v>177.1</v>
      </c>
      <c r="U332" s="85" t="s">
        <v>32</v>
      </c>
      <c r="V332" s="85">
        <v>173.3</v>
      </c>
      <c r="W332" s="85">
        <v>167.7</v>
      </c>
      <c r="X332" s="85">
        <v>177</v>
      </c>
      <c r="Y332" s="85">
        <v>166.2</v>
      </c>
      <c r="Z332" s="85">
        <v>167.2</v>
      </c>
      <c r="AA332" s="85">
        <v>170.9</v>
      </c>
      <c r="AB332" s="85">
        <v>169</v>
      </c>
      <c r="AC332" s="85">
        <v>170.2</v>
      </c>
      <c r="AD332" s="85">
        <v>170.8</v>
      </c>
      <c r="AE332" s="85">
        <f t="shared" si="42"/>
        <v>2206.6</v>
      </c>
      <c r="AF332" s="85">
        <f t="shared" si="43"/>
        <v>192.8</v>
      </c>
      <c r="AG332" s="85">
        <f t="shared" si="44"/>
        <v>529.70000000000005</v>
      </c>
      <c r="AH332" s="85">
        <f t="shared" si="45"/>
        <v>341</v>
      </c>
      <c r="AI332" s="85">
        <f t="shared" si="46"/>
        <v>516.9</v>
      </c>
      <c r="AJ332" s="85">
        <f t="shared" si="47"/>
        <v>166.2</v>
      </c>
      <c r="AK332" s="85">
        <f t="shared" si="48"/>
        <v>167.2</v>
      </c>
      <c r="AL332" s="85">
        <f t="shared" si="49"/>
        <v>170.2</v>
      </c>
      <c r="AM332" s="86"/>
    </row>
    <row r="333" spans="1:39" x14ac:dyDescent="0.3">
      <c r="A333" s="87" t="s">
        <v>33</v>
      </c>
      <c r="B333" s="88">
        <v>2022</v>
      </c>
      <c r="C333" s="88" t="s">
        <v>37</v>
      </c>
      <c r="D333" s="88">
        <v>155.4</v>
      </c>
      <c r="E333" s="88">
        <v>215.8</v>
      </c>
      <c r="F333" s="88">
        <v>164.6</v>
      </c>
      <c r="G333" s="88">
        <v>164.2</v>
      </c>
      <c r="H333" s="88">
        <v>186</v>
      </c>
      <c r="I333" s="88">
        <v>175.9</v>
      </c>
      <c r="J333" s="88">
        <v>190.7</v>
      </c>
      <c r="K333" s="88">
        <v>164</v>
      </c>
      <c r="L333" s="88">
        <v>120.5</v>
      </c>
      <c r="M333" s="88">
        <v>178</v>
      </c>
      <c r="N333" s="88">
        <v>157.5</v>
      </c>
      <c r="O333" s="88">
        <v>183.3</v>
      </c>
      <c r="P333" s="88">
        <v>174.5</v>
      </c>
      <c r="Q333" s="88">
        <v>197.1</v>
      </c>
      <c r="R333" s="88">
        <v>168.4</v>
      </c>
      <c r="S333" s="88">
        <v>154.5</v>
      </c>
      <c r="T333" s="88">
        <v>166.3</v>
      </c>
      <c r="U333" s="88">
        <v>167</v>
      </c>
      <c r="V333" s="88">
        <v>170.5</v>
      </c>
      <c r="W333" s="88">
        <v>159.80000000000001</v>
      </c>
      <c r="X333" s="88">
        <v>169</v>
      </c>
      <c r="Y333" s="88">
        <v>159.30000000000001</v>
      </c>
      <c r="Z333" s="88">
        <v>162.19999999999999</v>
      </c>
      <c r="AA333" s="88">
        <v>164</v>
      </c>
      <c r="AB333" s="88">
        <v>168.4</v>
      </c>
      <c r="AC333" s="88">
        <v>163.1</v>
      </c>
      <c r="AD333" s="88">
        <v>169.2</v>
      </c>
      <c r="AE333" s="88">
        <f t="shared" si="42"/>
        <v>2230.4</v>
      </c>
      <c r="AF333" s="88">
        <f t="shared" si="43"/>
        <v>197.1</v>
      </c>
      <c r="AG333" s="88">
        <f t="shared" si="44"/>
        <v>489.2</v>
      </c>
      <c r="AH333" s="88">
        <f t="shared" si="45"/>
        <v>497.3</v>
      </c>
      <c r="AI333" s="88">
        <f t="shared" si="46"/>
        <v>501.4</v>
      </c>
      <c r="AJ333" s="88">
        <f t="shared" si="47"/>
        <v>159.30000000000001</v>
      </c>
      <c r="AK333" s="88">
        <f t="shared" si="48"/>
        <v>162.19999999999999</v>
      </c>
      <c r="AL333" s="88">
        <f t="shared" si="49"/>
        <v>163.1</v>
      </c>
      <c r="AM333" s="89"/>
    </row>
    <row r="334" spans="1:39" x14ac:dyDescent="0.3">
      <c r="A334" s="84" t="s">
        <v>34</v>
      </c>
      <c r="B334" s="85">
        <v>2022</v>
      </c>
      <c r="C334" s="85" t="s">
        <v>37</v>
      </c>
      <c r="D334" s="85">
        <v>152.9</v>
      </c>
      <c r="E334" s="85">
        <v>211.8</v>
      </c>
      <c r="F334" s="85">
        <v>164.5</v>
      </c>
      <c r="G334" s="85">
        <v>163.9</v>
      </c>
      <c r="H334" s="85">
        <v>199.5</v>
      </c>
      <c r="I334" s="85">
        <v>172.6</v>
      </c>
      <c r="J334" s="85">
        <v>166.2</v>
      </c>
      <c r="K334" s="85">
        <v>164.7</v>
      </c>
      <c r="L334" s="85">
        <v>119</v>
      </c>
      <c r="M334" s="85">
        <v>181.3</v>
      </c>
      <c r="N334" s="85">
        <v>166.2</v>
      </c>
      <c r="O334" s="85">
        <v>180.9</v>
      </c>
      <c r="P334" s="85">
        <v>170.8</v>
      </c>
      <c r="Q334" s="85">
        <v>193.9</v>
      </c>
      <c r="R334" s="85">
        <v>173.9</v>
      </c>
      <c r="S334" s="85">
        <v>166.5</v>
      </c>
      <c r="T334" s="85">
        <v>172.8</v>
      </c>
      <c r="U334" s="85">
        <v>167</v>
      </c>
      <c r="V334" s="85">
        <v>172.2</v>
      </c>
      <c r="W334" s="85">
        <v>164</v>
      </c>
      <c r="X334" s="85">
        <v>174</v>
      </c>
      <c r="Y334" s="85">
        <v>162.6</v>
      </c>
      <c r="Z334" s="85">
        <v>164.4</v>
      </c>
      <c r="AA334" s="85">
        <v>166.9</v>
      </c>
      <c r="AB334" s="85">
        <v>168.8</v>
      </c>
      <c r="AC334" s="85">
        <v>166.8</v>
      </c>
      <c r="AD334" s="85">
        <v>170.1</v>
      </c>
      <c r="AE334" s="85">
        <f t="shared" si="42"/>
        <v>2214.3000000000002</v>
      </c>
      <c r="AF334" s="85">
        <f t="shared" si="43"/>
        <v>193.9</v>
      </c>
      <c r="AG334" s="85">
        <f t="shared" si="44"/>
        <v>513.20000000000005</v>
      </c>
      <c r="AH334" s="85">
        <f t="shared" si="45"/>
        <v>503.2</v>
      </c>
      <c r="AI334" s="85">
        <f t="shared" si="46"/>
        <v>509.7</v>
      </c>
      <c r="AJ334" s="85">
        <f t="shared" si="47"/>
        <v>162.6</v>
      </c>
      <c r="AK334" s="85">
        <f t="shared" si="48"/>
        <v>164.4</v>
      </c>
      <c r="AL334" s="85">
        <f t="shared" si="49"/>
        <v>166.8</v>
      </c>
      <c r="AM334" s="86"/>
    </row>
    <row r="335" spans="1:39" x14ac:dyDescent="0.3">
      <c r="A335" s="87" t="s">
        <v>30</v>
      </c>
      <c r="B335" s="88">
        <v>2022</v>
      </c>
      <c r="C335" s="88" t="s">
        <v>38</v>
      </c>
      <c r="D335" s="88">
        <v>152.9</v>
      </c>
      <c r="E335" s="88">
        <v>214.7</v>
      </c>
      <c r="F335" s="88">
        <v>161.4</v>
      </c>
      <c r="G335" s="88">
        <v>164.6</v>
      </c>
      <c r="H335" s="88">
        <v>209.9</v>
      </c>
      <c r="I335" s="88">
        <v>168</v>
      </c>
      <c r="J335" s="88">
        <v>160.4</v>
      </c>
      <c r="K335" s="88">
        <v>165</v>
      </c>
      <c r="L335" s="88">
        <v>118.9</v>
      </c>
      <c r="M335" s="88">
        <v>186.6</v>
      </c>
      <c r="N335" s="88">
        <v>173.2</v>
      </c>
      <c r="O335" s="88">
        <v>180.4</v>
      </c>
      <c r="P335" s="88">
        <v>170.8</v>
      </c>
      <c r="Q335" s="88">
        <v>192.9</v>
      </c>
      <c r="R335" s="88">
        <v>179.3</v>
      </c>
      <c r="S335" s="88">
        <v>177.2</v>
      </c>
      <c r="T335" s="88">
        <v>179</v>
      </c>
      <c r="U335" s="88" t="s">
        <v>32</v>
      </c>
      <c r="V335" s="88">
        <v>175.3</v>
      </c>
      <c r="W335" s="88">
        <v>168.9</v>
      </c>
      <c r="X335" s="88">
        <v>177.7</v>
      </c>
      <c r="Y335" s="88">
        <v>167.1</v>
      </c>
      <c r="Z335" s="88">
        <v>167.6</v>
      </c>
      <c r="AA335" s="88">
        <v>171.8</v>
      </c>
      <c r="AB335" s="88">
        <v>168.5</v>
      </c>
      <c r="AC335" s="88">
        <v>170.9</v>
      </c>
      <c r="AD335" s="88">
        <v>172.5</v>
      </c>
      <c r="AE335" s="88">
        <f t="shared" si="42"/>
        <v>2226.8000000000002</v>
      </c>
      <c r="AF335" s="88">
        <f t="shared" si="43"/>
        <v>192.9</v>
      </c>
      <c r="AG335" s="88">
        <f t="shared" si="44"/>
        <v>535.5</v>
      </c>
      <c r="AH335" s="88">
        <f t="shared" si="45"/>
        <v>344.20000000000005</v>
      </c>
      <c r="AI335" s="88">
        <f t="shared" si="46"/>
        <v>518</v>
      </c>
      <c r="AJ335" s="88">
        <f t="shared" si="47"/>
        <v>167.1</v>
      </c>
      <c r="AK335" s="88">
        <f t="shared" si="48"/>
        <v>167.6</v>
      </c>
      <c r="AL335" s="88">
        <f t="shared" si="49"/>
        <v>170.9</v>
      </c>
      <c r="AM335" s="89"/>
    </row>
    <row r="336" spans="1:39" x14ac:dyDescent="0.3">
      <c r="A336" s="84" t="s">
        <v>33</v>
      </c>
      <c r="B336" s="85">
        <v>2022</v>
      </c>
      <c r="C336" s="85" t="s">
        <v>38</v>
      </c>
      <c r="D336" s="85">
        <v>156.69999999999999</v>
      </c>
      <c r="E336" s="85">
        <v>221.2</v>
      </c>
      <c r="F336" s="85">
        <v>164.1</v>
      </c>
      <c r="G336" s="85">
        <v>165.4</v>
      </c>
      <c r="H336" s="85">
        <v>189.5</v>
      </c>
      <c r="I336" s="85">
        <v>174.5</v>
      </c>
      <c r="J336" s="85">
        <v>203.2</v>
      </c>
      <c r="K336" s="85">
        <v>164.1</v>
      </c>
      <c r="L336" s="85">
        <v>121.2</v>
      </c>
      <c r="M336" s="85">
        <v>181.4</v>
      </c>
      <c r="N336" s="85">
        <v>158.5</v>
      </c>
      <c r="O336" s="85">
        <v>184.9</v>
      </c>
      <c r="P336" s="85">
        <v>177.5</v>
      </c>
      <c r="Q336" s="85">
        <v>197.5</v>
      </c>
      <c r="R336" s="85">
        <v>170</v>
      </c>
      <c r="S336" s="85">
        <v>155.9</v>
      </c>
      <c r="T336" s="85">
        <v>167.8</v>
      </c>
      <c r="U336" s="85">
        <v>167.5</v>
      </c>
      <c r="V336" s="85">
        <v>173.5</v>
      </c>
      <c r="W336" s="85">
        <v>161.1</v>
      </c>
      <c r="X336" s="85">
        <v>170.1</v>
      </c>
      <c r="Y336" s="85">
        <v>159.4</v>
      </c>
      <c r="Z336" s="85">
        <v>163.19999999999999</v>
      </c>
      <c r="AA336" s="85">
        <v>165.2</v>
      </c>
      <c r="AB336" s="85">
        <v>168.2</v>
      </c>
      <c r="AC336" s="85">
        <v>163.80000000000001</v>
      </c>
      <c r="AD336" s="85">
        <v>170.8</v>
      </c>
      <c r="AE336" s="85">
        <f t="shared" si="42"/>
        <v>2262.2000000000003</v>
      </c>
      <c r="AF336" s="85">
        <f t="shared" si="43"/>
        <v>197.5</v>
      </c>
      <c r="AG336" s="85">
        <f t="shared" si="44"/>
        <v>493.7</v>
      </c>
      <c r="AH336" s="85">
        <f t="shared" si="45"/>
        <v>502.1</v>
      </c>
      <c r="AI336" s="85">
        <f t="shared" si="46"/>
        <v>503.49999999999994</v>
      </c>
      <c r="AJ336" s="85">
        <f t="shared" si="47"/>
        <v>159.4</v>
      </c>
      <c r="AK336" s="85">
        <f t="shared" si="48"/>
        <v>163.19999999999999</v>
      </c>
      <c r="AL336" s="85">
        <f t="shared" si="49"/>
        <v>163.80000000000001</v>
      </c>
      <c r="AM336" s="86"/>
    </row>
    <row r="337" spans="1:39" x14ac:dyDescent="0.3">
      <c r="A337" s="87" t="s">
        <v>34</v>
      </c>
      <c r="B337" s="88">
        <v>2022</v>
      </c>
      <c r="C337" s="88" t="s">
        <v>38</v>
      </c>
      <c r="D337" s="88">
        <v>154.1</v>
      </c>
      <c r="E337" s="88">
        <v>217</v>
      </c>
      <c r="F337" s="88">
        <v>162.4</v>
      </c>
      <c r="G337" s="88">
        <v>164.9</v>
      </c>
      <c r="H337" s="88">
        <v>202.4</v>
      </c>
      <c r="I337" s="88">
        <v>171</v>
      </c>
      <c r="J337" s="88">
        <v>174.9</v>
      </c>
      <c r="K337" s="88">
        <v>164.7</v>
      </c>
      <c r="L337" s="88">
        <v>119.7</v>
      </c>
      <c r="M337" s="88">
        <v>184.9</v>
      </c>
      <c r="N337" s="88">
        <v>167.1</v>
      </c>
      <c r="O337" s="88">
        <v>182.5</v>
      </c>
      <c r="P337" s="88">
        <v>173.3</v>
      </c>
      <c r="Q337" s="88">
        <v>194.1</v>
      </c>
      <c r="R337" s="88">
        <v>175.6</v>
      </c>
      <c r="S337" s="88">
        <v>168.4</v>
      </c>
      <c r="T337" s="88">
        <v>174.6</v>
      </c>
      <c r="U337" s="88">
        <v>167.5</v>
      </c>
      <c r="V337" s="88">
        <v>174.6</v>
      </c>
      <c r="W337" s="88">
        <v>165.2</v>
      </c>
      <c r="X337" s="88">
        <v>174.8</v>
      </c>
      <c r="Y337" s="88">
        <v>163</v>
      </c>
      <c r="Z337" s="88">
        <v>165.1</v>
      </c>
      <c r="AA337" s="88">
        <v>167.9</v>
      </c>
      <c r="AB337" s="88">
        <v>168.4</v>
      </c>
      <c r="AC337" s="88">
        <v>167.5</v>
      </c>
      <c r="AD337" s="88">
        <v>171.7</v>
      </c>
      <c r="AE337" s="88">
        <f t="shared" si="42"/>
        <v>2238.9000000000005</v>
      </c>
      <c r="AF337" s="88">
        <f t="shared" si="43"/>
        <v>194.1</v>
      </c>
      <c r="AG337" s="88">
        <f t="shared" si="44"/>
        <v>518.6</v>
      </c>
      <c r="AH337" s="88">
        <f t="shared" si="45"/>
        <v>507.3</v>
      </c>
      <c r="AI337" s="88">
        <f t="shared" si="46"/>
        <v>511.1</v>
      </c>
      <c r="AJ337" s="88">
        <f t="shared" si="47"/>
        <v>163</v>
      </c>
      <c r="AK337" s="88">
        <f t="shared" si="48"/>
        <v>165.1</v>
      </c>
      <c r="AL337" s="88">
        <f t="shared" si="49"/>
        <v>167.5</v>
      </c>
      <c r="AM337" s="89"/>
    </row>
    <row r="338" spans="1:39" x14ac:dyDescent="0.3">
      <c r="A338" s="84" t="s">
        <v>30</v>
      </c>
      <c r="B338" s="85">
        <v>2022</v>
      </c>
      <c r="C338" s="85" t="s">
        <v>39</v>
      </c>
      <c r="D338" s="85">
        <v>153.80000000000001</v>
      </c>
      <c r="E338" s="85">
        <v>217.2</v>
      </c>
      <c r="F338" s="85">
        <v>169.6</v>
      </c>
      <c r="G338" s="85">
        <v>165.4</v>
      </c>
      <c r="H338" s="85">
        <v>208.1</v>
      </c>
      <c r="I338" s="85">
        <v>165.8</v>
      </c>
      <c r="J338" s="85">
        <v>167.3</v>
      </c>
      <c r="K338" s="85">
        <v>164.6</v>
      </c>
      <c r="L338" s="85">
        <v>119.1</v>
      </c>
      <c r="M338" s="85">
        <v>188.9</v>
      </c>
      <c r="N338" s="85">
        <v>174.2</v>
      </c>
      <c r="O338" s="85">
        <v>181.9</v>
      </c>
      <c r="P338" s="85">
        <v>172.4</v>
      </c>
      <c r="Q338" s="85">
        <v>192.9</v>
      </c>
      <c r="R338" s="85">
        <v>180.7</v>
      </c>
      <c r="S338" s="85">
        <v>178.7</v>
      </c>
      <c r="T338" s="85">
        <v>180.4</v>
      </c>
      <c r="U338" s="85" t="s">
        <v>32</v>
      </c>
      <c r="V338" s="85">
        <v>176.7</v>
      </c>
      <c r="W338" s="85">
        <v>170.3</v>
      </c>
      <c r="X338" s="85">
        <v>178.2</v>
      </c>
      <c r="Y338" s="85">
        <v>165.5</v>
      </c>
      <c r="Z338" s="85">
        <v>168</v>
      </c>
      <c r="AA338" s="85">
        <v>172.6</v>
      </c>
      <c r="AB338" s="85">
        <v>169.5</v>
      </c>
      <c r="AC338" s="85">
        <v>171</v>
      </c>
      <c r="AD338" s="85">
        <v>173.6</v>
      </c>
      <c r="AE338" s="85">
        <f t="shared" si="42"/>
        <v>2248.3000000000002</v>
      </c>
      <c r="AF338" s="85">
        <f t="shared" si="43"/>
        <v>192.9</v>
      </c>
      <c r="AG338" s="85">
        <f t="shared" si="44"/>
        <v>539.79999999999995</v>
      </c>
      <c r="AH338" s="85">
        <f t="shared" si="45"/>
        <v>347</v>
      </c>
      <c r="AI338" s="85">
        <f t="shared" si="46"/>
        <v>520.29999999999995</v>
      </c>
      <c r="AJ338" s="85">
        <f t="shared" si="47"/>
        <v>165.5</v>
      </c>
      <c r="AK338" s="85">
        <f t="shared" si="48"/>
        <v>168</v>
      </c>
      <c r="AL338" s="85">
        <f t="shared" si="49"/>
        <v>171</v>
      </c>
      <c r="AM338" s="86"/>
    </row>
    <row r="339" spans="1:39" x14ac:dyDescent="0.3">
      <c r="A339" s="87" t="s">
        <v>33</v>
      </c>
      <c r="B339" s="88">
        <v>2022</v>
      </c>
      <c r="C339" s="88" t="s">
        <v>39</v>
      </c>
      <c r="D339" s="88">
        <v>157.5</v>
      </c>
      <c r="E339" s="88">
        <v>223.4</v>
      </c>
      <c r="F339" s="88">
        <v>172.8</v>
      </c>
      <c r="G339" s="88">
        <v>166.4</v>
      </c>
      <c r="H339" s="88">
        <v>188.6</v>
      </c>
      <c r="I339" s="88">
        <v>174.1</v>
      </c>
      <c r="J339" s="88">
        <v>211.5</v>
      </c>
      <c r="K339" s="88">
        <v>163.6</v>
      </c>
      <c r="L339" s="88">
        <v>121.4</v>
      </c>
      <c r="M339" s="88">
        <v>183.5</v>
      </c>
      <c r="N339" s="88">
        <v>159.1</v>
      </c>
      <c r="O339" s="88">
        <v>186.3</v>
      </c>
      <c r="P339" s="88">
        <v>179.3</v>
      </c>
      <c r="Q339" s="88">
        <v>198.3</v>
      </c>
      <c r="R339" s="88">
        <v>171.6</v>
      </c>
      <c r="S339" s="88">
        <v>157.4</v>
      </c>
      <c r="T339" s="88">
        <v>169.4</v>
      </c>
      <c r="U339" s="88">
        <v>166.8</v>
      </c>
      <c r="V339" s="88">
        <v>174.9</v>
      </c>
      <c r="W339" s="88">
        <v>162.1</v>
      </c>
      <c r="X339" s="88">
        <v>170.9</v>
      </c>
      <c r="Y339" s="88">
        <v>157.19999999999999</v>
      </c>
      <c r="Z339" s="88">
        <v>164.1</v>
      </c>
      <c r="AA339" s="88">
        <v>166.5</v>
      </c>
      <c r="AB339" s="88">
        <v>169.2</v>
      </c>
      <c r="AC339" s="88">
        <v>163.80000000000001</v>
      </c>
      <c r="AD339" s="88">
        <v>171.4</v>
      </c>
      <c r="AE339" s="88">
        <f t="shared" si="42"/>
        <v>2287.5</v>
      </c>
      <c r="AF339" s="88">
        <f t="shared" si="43"/>
        <v>198.3</v>
      </c>
      <c r="AG339" s="88">
        <f t="shared" si="44"/>
        <v>498.4</v>
      </c>
      <c r="AH339" s="88">
        <f t="shared" si="45"/>
        <v>503.80000000000007</v>
      </c>
      <c r="AI339" s="88">
        <f t="shared" si="46"/>
        <v>506.59999999999997</v>
      </c>
      <c r="AJ339" s="88">
        <f t="shared" si="47"/>
        <v>157.19999999999999</v>
      </c>
      <c r="AK339" s="88">
        <f t="shared" si="48"/>
        <v>164.1</v>
      </c>
      <c r="AL339" s="88">
        <f t="shared" si="49"/>
        <v>163.80000000000001</v>
      </c>
      <c r="AM339" s="89"/>
    </row>
    <row r="340" spans="1:39" x14ac:dyDescent="0.3">
      <c r="A340" s="84" t="s">
        <v>34</v>
      </c>
      <c r="B340" s="85">
        <v>2022</v>
      </c>
      <c r="C340" s="85" t="s">
        <v>39</v>
      </c>
      <c r="D340" s="85">
        <v>155</v>
      </c>
      <c r="E340" s="85">
        <v>219.4</v>
      </c>
      <c r="F340" s="85">
        <v>170.8</v>
      </c>
      <c r="G340" s="85">
        <v>165.8</v>
      </c>
      <c r="H340" s="85">
        <v>200.9</v>
      </c>
      <c r="I340" s="85">
        <v>169.7</v>
      </c>
      <c r="J340" s="85">
        <v>182.3</v>
      </c>
      <c r="K340" s="85">
        <v>164.3</v>
      </c>
      <c r="L340" s="85">
        <v>119.9</v>
      </c>
      <c r="M340" s="85">
        <v>187.1</v>
      </c>
      <c r="N340" s="85">
        <v>167.9</v>
      </c>
      <c r="O340" s="85">
        <v>183.9</v>
      </c>
      <c r="P340" s="85">
        <v>174.9</v>
      </c>
      <c r="Q340" s="85">
        <v>194.3</v>
      </c>
      <c r="R340" s="85">
        <v>177.1</v>
      </c>
      <c r="S340" s="85">
        <v>169.9</v>
      </c>
      <c r="T340" s="85">
        <v>176</v>
      </c>
      <c r="U340" s="85">
        <v>166.8</v>
      </c>
      <c r="V340" s="85">
        <v>176</v>
      </c>
      <c r="W340" s="85">
        <v>166.4</v>
      </c>
      <c r="X340" s="85">
        <v>175.4</v>
      </c>
      <c r="Y340" s="85">
        <v>161.1</v>
      </c>
      <c r="Z340" s="85">
        <v>165.8</v>
      </c>
      <c r="AA340" s="85">
        <v>169</v>
      </c>
      <c r="AB340" s="85">
        <v>169.4</v>
      </c>
      <c r="AC340" s="85">
        <v>167.5</v>
      </c>
      <c r="AD340" s="85">
        <v>172.6</v>
      </c>
      <c r="AE340" s="85">
        <f t="shared" si="42"/>
        <v>2261.9</v>
      </c>
      <c r="AF340" s="85">
        <f t="shared" si="43"/>
        <v>194.3</v>
      </c>
      <c r="AG340" s="85">
        <f t="shared" si="44"/>
        <v>523</v>
      </c>
      <c r="AH340" s="85">
        <f t="shared" si="45"/>
        <v>509.20000000000005</v>
      </c>
      <c r="AI340" s="85">
        <f t="shared" si="46"/>
        <v>513.79999999999995</v>
      </c>
      <c r="AJ340" s="85">
        <f t="shared" si="47"/>
        <v>161.1</v>
      </c>
      <c r="AK340" s="85">
        <f t="shared" si="48"/>
        <v>165.8</v>
      </c>
      <c r="AL340" s="85">
        <f t="shared" si="49"/>
        <v>167.5</v>
      </c>
      <c r="AM340" s="86"/>
    </row>
    <row r="341" spans="1:39" x14ac:dyDescent="0.3">
      <c r="A341" s="87" t="s">
        <v>30</v>
      </c>
      <c r="B341" s="88">
        <v>2022</v>
      </c>
      <c r="C341" s="88" t="s">
        <v>40</v>
      </c>
      <c r="D341" s="88">
        <v>155.19999999999999</v>
      </c>
      <c r="E341" s="88">
        <v>210.8</v>
      </c>
      <c r="F341" s="88">
        <v>174.3</v>
      </c>
      <c r="G341" s="88">
        <v>166.3</v>
      </c>
      <c r="H341" s="88">
        <v>202.2</v>
      </c>
      <c r="I341" s="88">
        <v>169.6</v>
      </c>
      <c r="J341" s="88">
        <v>168.6</v>
      </c>
      <c r="K341" s="88">
        <v>164.4</v>
      </c>
      <c r="L341" s="88">
        <v>119.2</v>
      </c>
      <c r="M341" s="88">
        <v>191.8</v>
      </c>
      <c r="N341" s="88">
        <v>174.5</v>
      </c>
      <c r="O341" s="88">
        <v>183.1</v>
      </c>
      <c r="P341" s="88">
        <v>172.5</v>
      </c>
      <c r="Q341" s="88">
        <v>193.2</v>
      </c>
      <c r="R341" s="88">
        <v>182</v>
      </c>
      <c r="S341" s="88">
        <v>180.3</v>
      </c>
      <c r="T341" s="88">
        <v>181.7</v>
      </c>
      <c r="U341" s="88" t="s">
        <v>32</v>
      </c>
      <c r="V341" s="88">
        <v>179.6</v>
      </c>
      <c r="W341" s="88">
        <v>171.3</v>
      </c>
      <c r="X341" s="88">
        <v>178.8</v>
      </c>
      <c r="Y341" s="88">
        <v>166.3</v>
      </c>
      <c r="Z341" s="88">
        <v>168.6</v>
      </c>
      <c r="AA341" s="88">
        <v>174.7</v>
      </c>
      <c r="AB341" s="88">
        <v>169.7</v>
      </c>
      <c r="AC341" s="88">
        <v>171.8</v>
      </c>
      <c r="AD341" s="88">
        <v>174.3</v>
      </c>
      <c r="AE341" s="88">
        <f t="shared" si="42"/>
        <v>2252.5</v>
      </c>
      <c r="AF341" s="88">
        <f t="shared" si="43"/>
        <v>193.2</v>
      </c>
      <c r="AG341" s="88">
        <f t="shared" si="44"/>
        <v>544</v>
      </c>
      <c r="AH341" s="88">
        <f t="shared" si="45"/>
        <v>350.9</v>
      </c>
      <c r="AI341" s="88">
        <f t="shared" si="46"/>
        <v>523.20000000000005</v>
      </c>
      <c r="AJ341" s="88">
        <f t="shared" si="47"/>
        <v>166.3</v>
      </c>
      <c r="AK341" s="88">
        <f t="shared" si="48"/>
        <v>168.6</v>
      </c>
      <c r="AL341" s="88">
        <f t="shared" si="49"/>
        <v>171.8</v>
      </c>
      <c r="AM341" s="89"/>
    </row>
    <row r="342" spans="1:39" x14ac:dyDescent="0.3">
      <c r="A342" s="84" t="s">
        <v>33</v>
      </c>
      <c r="B342" s="85">
        <v>2022</v>
      </c>
      <c r="C342" s="85" t="s">
        <v>40</v>
      </c>
      <c r="D342" s="85">
        <v>159.30000000000001</v>
      </c>
      <c r="E342" s="85">
        <v>217.1</v>
      </c>
      <c r="F342" s="85">
        <v>176.6</v>
      </c>
      <c r="G342" s="85">
        <v>167.1</v>
      </c>
      <c r="H342" s="85">
        <v>184.8</v>
      </c>
      <c r="I342" s="85">
        <v>179.5</v>
      </c>
      <c r="J342" s="85">
        <v>208.5</v>
      </c>
      <c r="K342" s="85">
        <v>164</v>
      </c>
      <c r="L342" s="85">
        <v>121.5</v>
      </c>
      <c r="M342" s="85">
        <v>186.3</v>
      </c>
      <c r="N342" s="85">
        <v>159.80000000000001</v>
      </c>
      <c r="O342" s="85">
        <v>187.7</v>
      </c>
      <c r="P342" s="85">
        <v>179.4</v>
      </c>
      <c r="Q342" s="85">
        <v>198.6</v>
      </c>
      <c r="R342" s="85">
        <v>172.7</v>
      </c>
      <c r="S342" s="85">
        <v>158.69999999999999</v>
      </c>
      <c r="T342" s="85">
        <v>170.6</v>
      </c>
      <c r="U342" s="85">
        <v>167.8</v>
      </c>
      <c r="V342" s="85">
        <v>179.5</v>
      </c>
      <c r="W342" s="85">
        <v>163.1</v>
      </c>
      <c r="X342" s="85">
        <v>171.7</v>
      </c>
      <c r="Y342" s="85">
        <v>157.4</v>
      </c>
      <c r="Z342" s="85">
        <v>164.6</v>
      </c>
      <c r="AA342" s="85">
        <v>169.1</v>
      </c>
      <c r="AB342" s="85">
        <v>169.8</v>
      </c>
      <c r="AC342" s="85">
        <v>164.7</v>
      </c>
      <c r="AD342" s="85">
        <v>172.3</v>
      </c>
      <c r="AE342" s="85">
        <f t="shared" si="42"/>
        <v>2291.6</v>
      </c>
      <c r="AF342" s="85">
        <f t="shared" si="43"/>
        <v>198.6</v>
      </c>
      <c r="AG342" s="85">
        <f t="shared" si="44"/>
        <v>502</v>
      </c>
      <c r="AH342" s="85">
        <f t="shared" si="45"/>
        <v>510.4</v>
      </c>
      <c r="AI342" s="85">
        <f t="shared" si="46"/>
        <v>510.59999999999997</v>
      </c>
      <c r="AJ342" s="85">
        <f t="shared" si="47"/>
        <v>157.4</v>
      </c>
      <c r="AK342" s="85">
        <f t="shared" si="48"/>
        <v>164.6</v>
      </c>
      <c r="AL342" s="85">
        <f t="shared" si="49"/>
        <v>164.7</v>
      </c>
      <c r="AM342" s="86"/>
    </row>
    <row r="343" spans="1:39" x14ac:dyDescent="0.3">
      <c r="A343" s="87" t="s">
        <v>34</v>
      </c>
      <c r="B343" s="88">
        <v>2022</v>
      </c>
      <c r="C343" s="88" t="s">
        <v>40</v>
      </c>
      <c r="D343" s="88">
        <v>156.5</v>
      </c>
      <c r="E343" s="88">
        <v>213</v>
      </c>
      <c r="F343" s="88">
        <v>175.2</v>
      </c>
      <c r="G343" s="88">
        <v>166.6</v>
      </c>
      <c r="H343" s="88">
        <v>195.8</v>
      </c>
      <c r="I343" s="88">
        <v>174.2</v>
      </c>
      <c r="J343" s="88">
        <v>182.1</v>
      </c>
      <c r="K343" s="88">
        <v>164.3</v>
      </c>
      <c r="L343" s="88">
        <v>120</v>
      </c>
      <c r="M343" s="88">
        <v>190</v>
      </c>
      <c r="N343" s="88">
        <v>168.4</v>
      </c>
      <c r="O343" s="88">
        <v>185.2</v>
      </c>
      <c r="P343" s="88">
        <v>175</v>
      </c>
      <c r="Q343" s="88">
        <v>194.6</v>
      </c>
      <c r="R343" s="88">
        <v>178.3</v>
      </c>
      <c r="S343" s="88">
        <v>171.3</v>
      </c>
      <c r="T343" s="88">
        <v>177.3</v>
      </c>
      <c r="U343" s="88">
        <v>167.8</v>
      </c>
      <c r="V343" s="88">
        <v>179.6</v>
      </c>
      <c r="W343" s="88">
        <v>167.4</v>
      </c>
      <c r="X343" s="88">
        <v>176.1</v>
      </c>
      <c r="Y343" s="88">
        <v>161.6</v>
      </c>
      <c r="Z343" s="88">
        <v>166.3</v>
      </c>
      <c r="AA343" s="88">
        <v>171.4</v>
      </c>
      <c r="AB343" s="88">
        <v>169.7</v>
      </c>
      <c r="AC343" s="88">
        <v>168.4</v>
      </c>
      <c r="AD343" s="88">
        <v>173.4</v>
      </c>
      <c r="AE343" s="88">
        <f t="shared" si="42"/>
        <v>2266.3000000000002</v>
      </c>
      <c r="AF343" s="88">
        <f t="shared" si="43"/>
        <v>194.6</v>
      </c>
      <c r="AG343" s="88">
        <f t="shared" si="44"/>
        <v>526.90000000000009</v>
      </c>
      <c r="AH343" s="88">
        <f t="shared" si="45"/>
        <v>514.79999999999995</v>
      </c>
      <c r="AI343" s="88">
        <f t="shared" si="46"/>
        <v>517.20000000000005</v>
      </c>
      <c r="AJ343" s="88">
        <f t="shared" si="47"/>
        <v>161.6</v>
      </c>
      <c r="AK343" s="88">
        <f t="shared" si="48"/>
        <v>166.3</v>
      </c>
      <c r="AL343" s="88">
        <f t="shared" si="49"/>
        <v>168.4</v>
      </c>
      <c r="AM343" s="89"/>
    </row>
    <row r="344" spans="1:39" x14ac:dyDescent="0.3">
      <c r="A344" s="84" t="s">
        <v>30</v>
      </c>
      <c r="B344" s="85">
        <v>2022</v>
      </c>
      <c r="C344" s="85" t="s">
        <v>41</v>
      </c>
      <c r="D344" s="85">
        <v>159.5</v>
      </c>
      <c r="E344" s="85">
        <v>204.1</v>
      </c>
      <c r="F344" s="85">
        <v>168.3</v>
      </c>
      <c r="G344" s="85">
        <v>167.9</v>
      </c>
      <c r="H344" s="85">
        <v>198.1</v>
      </c>
      <c r="I344" s="85">
        <v>169.2</v>
      </c>
      <c r="J344" s="85">
        <v>173.1</v>
      </c>
      <c r="K344" s="85">
        <v>167.1</v>
      </c>
      <c r="L344" s="85">
        <v>120.2</v>
      </c>
      <c r="M344" s="85">
        <v>195.6</v>
      </c>
      <c r="N344" s="85">
        <v>174.8</v>
      </c>
      <c r="O344" s="85">
        <v>184</v>
      </c>
      <c r="P344" s="85">
        <v>173.9</v>
      </c>
      <c r="Q344" s="85">
        <v>193.7</v>
      </c>
      <c r="R344" s="85">
        <v>183.2</v>
      </c>
      <c r="S344" s="85">
        <v>181.7</v>
      </c>
      <c r="T344" s="85">
        <v>183</v>
      </c>
      <c r="U344" s="85" t="s">
        <v>32</v>
      </c>
      <c r="V344" s="85">
        <v>179.1</v>
      </c>
      <c r="W344" s="85">
        <v>172.3</v>
      </c>
      <c r="X344" s="85">
        <v>179.4</v>
      </c>
      <c r="Y344" s="85">
        <v>166.6</v>
      </c>
      <c r="Z344" s="85">
        <v>169.3</v>
      </c>
      <c r="AA344" s="85">
        <v>175.7</v>
      </c>
      <c r="AB344" s="85">
        <v>171.1</v>
      </c>
      <c r="AC344" s="85">
        <v>172.6</v>
      </c>
      <c r="AD344" s="85">
        <v>175.3</v>
      </c>
      <c r="AE344" s="85">
        <f t="shared" si="42"/>
        <v>2255.7999999999997</v>
      </c>
      <c r="AF344" s="85">
        <f t="shared" si="43"/>
        <v>193.7</v>
      </c>
      <c r="AG344" s="85">
        <f t="shared" si="44"/>
        <v>547.9</v>
      </c>
      <c r="AH344" s="85">
        <f t="shared" si="45"/>
        <v>351.4</v>
      </c>
      <c r="AI344" s="85">
        <f t="shared" si="46"/>
        <v>526.20000000000005</v>
      </c>
      <c r="AJ344" s="85">
        <f t="shared" si="47"/>
        <v>166.6</v>
      </c>
      <c r="AK344" s="85">
        <f t="shared" si="48"/>
        <v>169.3</v>
      </c>
      <c r="AL344" s="85">
        <f t="shared" si="49"/>
        <v>172.6</v>
      </c>
      <c r="AM344" s="86"/>
    </row>
    <row r="345" spans="1:39" x14ac:dyDescent="0.3">
      <c r="A345" s="87" t="s">
        <v>33</v>
      </c>
      <c r="B345" s="88">
        <v>2022</v>
      </c>
      <c r="C345" s="88" t="s">
        <v>41</v>
      </c>
      <c r="D345" s="88">
        <v>162.1</v>
      </c>
      <c r="E345" s="88">
        <v>210.9</v>
      </c>
      <c r="F345" s="88">
        <v>170.6</v>
      </c>
      <c r="G345" s="88">
        <v>168.4</v>
      </c>
      <c r="H345" s="88">
        <v>182.5</v>
      </c>
      <c r="I345" s="88">
        <v>177.1</v>
      </c>
      <c r="J345" s="88">
        <v>213.1</v>
      </c>
      <c r="K345" s="88">
        <v>167.3</v>
      </c>
      <c r="L345" s="88">
        <v>122.2</v>
      </c>
      <c r="M345" s="88">
        <v>189.7</v>
      </c>
      <c r="N345" s="88">
        <v>160.5</v>
      </c>
      <c r="O345" s="88">
        <v>188.9</v>
      </c>
      <c r="P345" s="88">
        <v>180.4</v>
      </c>
      <c r="Q345" s="88">
        <v>198.7</v>
      </c>
      <c r="R345" s="88">
        <v>173.7</v>
      </c>
      <c r="S345" s="88">
        <v>160</v>
      </c>
      <c r="T345" s="88">
        <v>171.6</v>
      </c>
      <c r="U345" s="88">
        <v>169</v>
      </c>
      <c r="V345" s="88">
        <v>178.4</v>
      </c>
      <c r="W345" s="88">
        <v>164.2</v>
      </c>
      <c r="X345" s="88">
        <v>172.6</v>
      </c>
      <c r="Y345" s="88">
        <v>157.69999999999999</v>
      </c>
      <c r="Z345" s="88">
        <v>165.1</v>
      </c>
      <c r="AA345" s="88">
        <v>169.9</v>
      </c>
      <c r="AB345" s="88">
        <v>171.4</v>
      </c>
      <c r="AC345" s="88">
        <v>165.4</v>
      </c>
      <c r="AD345" s="88">
        <v>173.1</v>
      </c>
      <c r="AE345" s="88">
        <f t="shared" si="42"/>
        <v>2293.6999999999998</v>
      </c>
      <c r="AF345" s="88">
        <f t="shared" si="43"/>
        <v>198.7</v>
      </c>
      <c r="AG345" s="88">
        <f t="shared" si="44"/>
        <v>505.29999999999995</v>
      </c>
      <c r="AH345" s="88">
        <f t="shared" si="45"/>
        <v>511.59999999999997</v>
      </c>
      <c r="AI345" s="88">
        <f t="shared" si="46"/>
        <v>513.9</v>
      </c>
      <c r="AJ345" s="88">
        <f t="shared" si="47"/>
        <v>157.69999999999999</v>
      </c>
      <c r="AK345" s="88">
        <f t="shared" si="48"/>
        <v>165.1</v>
      </c>
      <c r="AL345" s="88">
        <f t="shared" si="49"/>
        <v>165.4</v>
      </c>
      <c r="AM345" s="89"/>
    </row>
    <row r="346" spans="1:39" x14ac:dyDescent="0.3">
      <c r="A346" s="84" t="s">
        <v>34</v>
      </c>
      <c r="B346" s="85">
        <v>2022</v>
      </c>
      <c r="C346" s="85" t="s">
        <v>41</v>
      </c>
      <c r="D346" s="85">
        <v>160.30000000000001</v>
      </c>
      <c r="E346" s="85">
        <v>206.5</v>
      </c>
      <c r="F346" s="85">
        <v>169.2</v>
      </c>
      <c r="G346" s="85">
        <v>168.1</v>
      </c>
      <c r="H346" s="85">
        <v>192.4</v>
      </c>
      <c r="I346" s="85">
        <v>172.9</v>
      </c>
      <c r="J346" s="85">
        <v>186.7</v>
      </c>
      <c r="K346" s="85">
        <v>167.2</v>
      </c>
      <c r="L346" s="85">
        <v>120.9</v>
      </c>
      <c r="M346" s="85">
        <v>193.6</v>
      </c>
      <c r="N346" s="85">
        <v>168.8</v>
      </c>
      <c r="O346" s="85">
        <v>186.3</v>
      </c>
      <c r="P346" s="85">
        <v>176.3</v>
      </c>
      <c r="Q346" s="85">
        <v>195</v>
      </c>
      <c r="R346" s="85">
        <v>179.5</v>
      </c>
      <c r="S346" s="85">
        <v>172.7</v>
      </c>
      <c r="T346" s="85">
        <v>178.5</v>
      </c>
      <c r="U346" s="85">
        <v>169</v>
      </c>
      <c r="V346" s="85">
        <v>178.8</v>
      </c>
      <c r="W346" s="85">
        <v>168.5</v>
      </c>
      <c r="X346" s="85">
        <v>176.8</v>
      </c>
      <c r="Y346" s="85">
        <v>161.9</v>
      </c>
      <c r="Z346" s="85">
        <v>166.9</v>
      </c>
      <c r="AA346" s="85">
        <v>172.3</v>
      </c>
      <c r="AB346" s="85">
        <v>171.2</v>
      </c>
      <c r="AC346" s="85">
        <v>169.1</v>
      </c>
      <c r="AD346" s="85">
        <v>174.3</v>
      </c>
      <c r="AE346" s="85">
        <f t="shared" si="42"/>
        <v>2269.2000000000003</v>
      </c>
      <c r="AF346" s="85">
        <f t="shared" si="43"/>
        <v>195</v>
      </c>
      <c r="AG346" s="85">
        <f t="shared" si="44"/>
        <v>530.70000000000005</v>
      </c>
      <c r="AH346" s="85">
        <f t="shared" si="45"/>
        <v>516.29999999999995</v>
      </c>
      <c r="AI346" s="85">
        <f t="shared" si="46"/>
        <v>520.29999999999995</v>
      </c>
      <c r="AJ346" s="85">
        <f t="shared" si="47"/>
        <v>161.9</v>
      </c>
      <c r="AK346" s="85">
        <f t="shared" si="48"/>
        <v>166.9</v>
      </c>
      <c r="AL346" s="85">
        <f t="shared" si="49"/>
        <v>169.1</v>
      </c>
      <c r="AM346" s="86"/>
    </row>
    <row r="347" spans="1:39" x14ac:dyDescent="0.3">
      <c r="A347" s="87" t="s">
        <v>30</v>
      </c>
      <c r="B347" s="88">
        <v>2022</v>
      </c>
      <c r="C347" s="88" t="s">
        <v>42</v>
      </c>
      <c r="D347" s="88">
        <v>162.9</v>
      </c>
      <c r="E347" s="88">
        <v>206.7</v>
      </c>
      <c r="F347" s="88">
        <v>169</v>
      </c>
      <c r="G347" s="88">
        <v>169.5</v>
      </c>
      <c r="H347" s="88">
        <v>194.1</v>
      </c>
      <c r="I347" s="88">
        <v>164.1</v>
      </c>
      <c r="J347" s="88">
        <v>176.9</v>
      </c>
      <c r="K347" s="88">
        <v>169</v>
      </c>
      <c r="L347" s="88">
        <v>120.8</v>
      </c>
      <c r="M347" s="88">
        <v>199.1</v>
      </c>
      <c r="N347" s="88">
        <v>175.4</v>
      </c>
      <c r="O347" s="88">
        <v>184.8</v>
      </c>
      <c r="P347" s="88">
        <v>175.5</v>
      </c>
      <c r="Q347" s="88">
        <v>194.5</v>
      </c>
      <c r="R347" s="88">
        <v>184.7</v>
      </c>
      <c r="S347" s="88">
        <v>183.3</v>
      </c>
      <c r="T347" s="88">
        <v>184.5</v>
      </c>
      <c r="U347" s="88" t="s">
        <v>32</v>
      </c>
      <c r="V347" s="88">
        <v>179.7</v>
      </c>
      <c r="W347" s="88">
        <v>173.6</v>
      </c>
      <c r="X347" s="88">
        <v>180.2</v>
      </c>
      <c r="Y347" s="88">
        <v>166.9</v>
      </c>
      <c r="Z347" s="88">
        <v>170</v>
      </c>
      <c r="AA347" s="88">
        <v>176.2</v>
      </c>
      <c r="AB347" s="88">
        <v>170.8</v>
      </c>
      <c r="AC347" s="88">
        <v>173.1</v>
      </c>
      <c r="AD347" s="88">
        <v>176.4</v>
      </c>
      <c r="AE347" s="88">
        <f t="shared" si="42"/>
        <v>2267.8000000000002</v>
      </c>
      <c r="AF347" s="88">
        <f t="shared" si="43"/>
        <v>194.5</v>
      </c>
      <c r="AG347" s="88">
        <f t="shared" si="44"/>
        <v>552.5</v>
      </c>
      <c r="AH347" s="88">
        <f t="shared" si="45"/>
        <v>353.29999999999995</v>
      </c>
      <c r="AI347" s="88">
        <f t="shared" si="46"/>
        <v>527.20000000000005</v>
      </c>
      <c r="AJ347" s="88">
        <f t="shared" si="47"/>
        <v>166.9</v>
      </c>
      <c r="AK347" s="88">
        <f t="shared" si="48"/>
        <v>170</v>
      </c>
      <c r="AL347" s="88">
        <f t="shared" si="49"/>
        <v>173.1</v>
      </c>
      <c r="AM347" s="89"/>
    </row>
    <row r="348" spans="1:39" x14ac:dyDescent="0.3">
      <c r="A348" s="84" t="s">
        <v>33</v>
      </c>
      <c r="B348" s="85">
        <v>2022</v>
      </c>
      <c r="C348" s="85" t="s">
        <v>42</v>
      </c>
      <c r="D348" s="85">
        <v>164.9</v>
      </c>
      <c r="E348" s="85">
        <v>213.7</v>
      </c>
      <c r="F348" s="85">
        <v>170.9</v>
      </c>
      <c r="G348" s="85">
        <v>170.1</v>
      </c>
      <c r="H348" s="85">
        <v>179.3</v>
      </c>
      <c r="I348" s="85">
        <v>167.5</v>
      </c>
      <c r="J348" s="85">
        <v>220.8</v>
      </c>
      <c r="K348" s="85">
        <v>169.2</v>
      </c>
      <c r="L348" s="85">
        <v>123.1</v>
      </c>
      <c r="M348" s="85">
        <v>193.6</v>
      </c>
      <c r="N348" s="85">
        <v>161.1</v>
      </c>
      <c r="O348" s="85">
        <v>190.4</v>
      </c>
      <c r="P348" s="85">
        <v>181.8</v>
      </c>
      <c r="Q348" s="85">
        <v>199.7</v>
      </c>
      <c r="R348" s="85">
        <v>175</v>
      </c>
      <c r="S348" s="85">
        <v>161.69999999999999</v>
      </c>
      <c r="T348" s="85">
        <v>173</v>
      </c>
      <c r="U348" s="85">
        <v>169.5</v>
      </c>
      <c r="V348" s="85">
        <v>179.2</v>
      </c>
      <c r="W348" s="85">
        <v>165</v>
      </c>
      <c r="X348" s="85">
        <v>173.8</v>
      </c>
      <c r="Y348" s="85">
        <v>158.19999999999999</v>
      </c>
      <c r="Z348" s="85">
        <v>165.8</v>
      </c>
      <c r="AA348" s="85">
        <v>170.9</v>
      </c>
      <c r="AB348" s="85">
        <v>171.1</v>
      </c>
      <c r="AC348" s="85">
        <v>166.1</v>
      </c>
      <c r="AD348" s="85">
        <v>174.1</v>
      </c>
      <c r="AE348" s="85">
        <f t="shared" si="42"/>
        <v>2306.4</v>
      </c>
      <c r="AF348" s="85">
        <f t="shared" si="43"/>
        <v>199.7</v>
      </c>
      <c r="AG348" s="85">
        <f t="shared" si="44"/>
        <v>509.7</v>
      </c>
      <c r="AH348" s="85">
        <f t="shared" si="45"/>
        <v>513.70000000000005</v>
      </c>
      <c r="AI348" s="85">
        <f t="shared" si="46"/>
        <v>515.80000000000007</v>
      </c>
      <c r="AJ348" s="85">
        <f t="shared" si="47"/>
        <v>158.19999999999999</v>
      </c>
      <c r="AK348" s="85">
        <f t="shared" si="48"/>
        <v>165.8</v>
      </c>
      <c r="AL348" s="85">
        <f t="shared" si="49"/>
        <v>166.1</v>
      </c>
      <c r="AM348" s="86"/>
    </row>
    <row r="349" spans="1:39" x14ac:dyDescent="0.3">
      <c r="A349" s="87" t="s">
        <v>34</v>
      </c>
      <c r="B349" s="88">
        <v>2022</v>
      </c>
      <c r="C349" s="88" t="s">
        <v>42</v>
      </c>
      <c r="D349" s="88">
        <v>163.5</v>
      </c>
      <c r="E349" s="88">
        <v>209.2</v>
      </c>
      <c r="F349" s="88">
        <v>169.7</v>
      </c>
      <c r="G349" s="88">
        <v>169.7</v>
      </c>
      <c r="H349" s="88">
        <v>188.7</v>
      </c>
      <c r="I349" s="88">
        <v>165.7</v>
      </c>
      <c r="J349" s="88">
        <v>191.8</v>
      </c>
      <c r="K349" s="88">
        <v>169.1</v>
      </c>
      <c r="L349" s="88">
        <v>121.6</v>
      </c>
      <c r="M349" s="88">
        <v>197.3</v>
      </c>
      <c r="N349" s="88">
        <v>169.4</v>
      </c>
      <c r="O349" s="88">
        <v>187.4</v>
      </c>
      <c r="P349" s="88">
        <v>177.8</v>
      </c>
      <c r="Q349" s="88">
        <v>195.9</v>
      </c>
      <c r="R349" s="88">
        <v>180.9</v>
      </c>
      <c r="S349" s="88">
        <v>174.3</v>
      </c>
      <c r="T349" s="88">
        <v>179.9</v>
      </c>
      <c r="U349" s="88">
        <v>169.5</v>
      </c>
      <c r="V349" s="88">
        <v>179.5</v>
      </c>
      <c r="W349" s="88">
        <v>169.5</v>
      </c>
      <c r="X349" s="88">
        <v>177.8</v>
      </c>
      <c r="Y349" s="88">
        <v>162.30000000000001</v>
      </c>
      <c r="Z349" s="88">
        <v>167.6</v>
      </c>
      <c r="AA349" s="88">
        <v>173.1</v>
      </c>
      <c r="AB349" s="88">
        <v>170.9</v>
      </c>
      <c r="AC349" s="88">
        <v>169.7</v>
      </c>
      <c r="AD349" s="88">
        <v>175.3</v>
      </c>
      <c r="AE349" s="88">
        <f t="shared" si="42"/>
        <v>2280.9</v>
      </c>
      <c r="AF349" s="88">
        <f t="shared" si="43"/>
        <v>195.9</v>
      </c>
      <c r="AG349" s="88">
        <f t="shared" si="44"/>
        <v>535.1</v>
      </c>
      <c r="AH349" s="88">
        <f t="shared" si="45"/>
        <v>518.5</v>
      </c>
      <c r="AI349" s="88">
        <f t="shared" si="46"/>
        <v>521.79999999999995</v>
      </c>
      <c r="AJ349" s="88">
        <f t="shared" si="47"/>
        <v>162.30000000000001</v>
      </c>
      <c r="AK349" s="88">
        <f t="shared" si="48"/>
        <v>167.6</v>
      </c>
      <c r="AL349" s="88">
        <f t="shared" si="49"/>
        <v>169.7</v>
      </c>
      <c r="AM349" s="89"/>
    </row>
    <row r="350" spans="1:39" x14ac:dyDescent="0.3">
      <c r="A350" s="84" t="s">
        <v>30</v>
      </c>
      <c r="B350" s="85">
        <v>2022</v>
      </c>
      <c r="C350" s="85" t="s">
        <v>43</v>
      </c>
      <c r="D350" s="85">
        <v>164.7</v>
      </c>
      <c r="E350" s="85">
        <v>208.8</v>
      </c>
      <c r="F350" s="85">
        <v>170.3</v>
      </c>
      <c r="G350" s="85">
        <v>170.9</v>
      </c>
      <c r="H350" s="85">
        <v>191.6</v>
      </c>
      <c r="I350" s="85">
        <v>162.19999999999999</v>
      </c>
      <c r="J350" s="85">
        <v>184.8</v>
      </c>
      <c r="K350" s="85">
        <v>169.7</v>
      </c>
      <c r="L350" s="85">
        <v>121.1</v>
      </c>
      <c r="M350" s="85">
        <v>201.6</v>
      </c>
      <c r="N350" s="85">
        <v>175.8</v>
      </c>
      <c r="O350" s="85">
        <v>185.6</v>
      </c>
      <c r="P350" s="85">
        <v>177.4</v>
      </c>
      <c r="Q350" s="85">
        <v>194.9</v>
      </c>
      <c r="R350" s="85">
        <v>186.1</v>
      </c>
      <c r="S350" s="85">
        <v>184.4</v>
      </c>
      <c r="T350" s="85">
        <v>185.9</v>
      </c>
      <c r="U350" s="85" t="s">
        <v>32</v>
      </c>
      <c r="V350" s="85">
        <v>180.8</v>
      </c>
      <c r="W350" s="85">
        <v>174.4</v>
      </c>
      <c r="X350" s="85">
        <v>181.2</v>
      </c>
      <c r="Y350" s="85">
        <v>167.4</v>
      </c>
      <c r="Z350" s="85">
        <v>170.6</v>
      </c>
      <c r="AA350" s="85">
        <v>176.5</v>
      </c>
      <c r="AB350" s="85">
        <v>172</v>
      </c>
      <c r="AC350" s="85">
        <v>173.9</v>
      </c>
      <c r="AD350" s="85">
        <v>177.9</v>
      </c>
      <c r="AE350" s="85">
        <f t="shared" si="42"/>
        <v>2284.5</v>
      </c>
      <c r="AF350" s="85">
        <f t="shared" si="43"/>
        <v>194.9</v>
      </c>
      <c r="AG350" s="85">
        <f t="shared" si="44"/>
        <v>556.4</v>
      </c>
      <c r="AH350" s="85">
        <f t="shared" si="45"/>
        <v>355.20000000000005</v>
      </c>
      <c r="AI350" s="85">
        <f t="shared" si="46"/>
        <v>529.70000000000005</v>
      </c>
      <c r="AJ350" s="85">
        <f t="shared" si="47"/>
        <v>167.4</v>
      </c>
      <c r="AK350" s="85">
        <f t="shared" si="48"/>
        <v>170.6</v>
      </c>
      <c r="AL350" s="85">
        <f t="shared" si="49"/>
        <v>173.9</v>
      </c>
      <c r="AM350" s="86"/>
    </row>
    <row r="351" spans="1:39" x14ac:dyDescent="0.3">
      <c r="A351" s="87" t="s">
        <v>33</v>
      </c>
      <c r="B351" s="88">
        <v>2022</v>
      </c>
      <c r="C351" s="88" t="s">
        <v>43</v>
      </c>
      <c r="D351" s="88">
        <v>166.4</v>
      </c>
      <c r="E351" s="88">
        <v>214.9</v>
      </c>
      <c r="F351" s="88">
        <v>171.9</v>
      </c>
      <c r="G351" s="88">
        <v>171</v>
      </c>
      <c r="H351" s="88">
        <v>177.7</v>
      </c>
      <c r="I351" s="88">
        <v>165.7</v>
      </c>
      <c r="J351" s="88">
        <v>228.6</v>
      </c>
      <c r="K351" s="88">
        <v>169.9</v>
      </c>
      <c r="L351" s="88">
        <v>123.4</v>
      </c>
      <c r="M351" s="88">
        <v>196.4</v>
      </c>
      <c r="N351" s="88">
        <v>161.6</v>
      </c>
      <c r="O351" s="88">
        <v>191.5</v>
      </c>
      <c r="P351" s="88">
        <v>183.3</v>
      </c>
      <c r="Q351" s="88">
        <v>200.1</v>
      </c>
      <c r="R351" s="88">
        <v>175.5</v>
      </c>
      <c r="S351" s="88">
        <v>162.6</v>
      </c>
      <c r="T351" s="88">
        <v>173.6</v>
      </c>
      <c r="U351" s="88">
        <v>171.2</v>
      </c>
      <c r="V351" s="88">
        <v>180</v>
      </c>
      <c r="W351" s="88">
        <v>166</v>
      </c>
      <c r="X351" s="88">
        <v>174.7</v>
      </c>
      <c r="Y351" s="88">
        <v>158.80000000000001</v>
      </c>
      <c r="Z351" s="88">
        <v>166.3</v>
      </c>
      <c r="AA351" s="88">
        <v>171.2</v>
      </c>
      <c r="AB351" s="88">
        <v>172.3</v>
      </c>
      <c r="AC351" s="88">
        <v>166.8</v>
      </c>
      <c r="AD351" s="88">
        <v>175.3</v>
      </c>
      <c r="AE351" s="88">
        <f t="shared" si="42"/>
        <v>2322.3000000000002</v>
      </c>
      <c r="AF351" s="88">
        <f t="shared" si="43"/>
        <v>200.1</v>
      </c>
      <c r="AG351" s="88">
        <f t="shared" si="44"/>
        <v>511.70000000000005</v>
      </c>
      <c r="AH351" s="88">
        <f t="shared" si="45"/>
        <v>517.20000000000005</v>
      </c>
      <c r="AI351" s="88">
        <f t="shared" si="46"/>
        <v>518.20000000000005</v>
      </c>
      <c r="AJ351" s="88">
        <f t="shared" si="47"/>
        <v>158.80000000000001</v>
      </c>
      <c r="AK351" s="88">
        <f t="shared" si="48"/>
        <v>166.3</v>
      </c>
      <c r="AL351" s="88">
        <f t="shared" si="49"/>
        <v>166.8</v>
      </c>
      <c r="AM351" s="89"/>
    </row>
    <row r="352" spans="1:39" x14ac:dyDescent="0.3">
      <c r="A352" s="84" t="s">
        <v>34</v>
      </c>
      <c r="B352" s="85">
        <v>2022</v>
      </c>
      <c r="C352" s="85" t="s">
        <v>43</v>
      </c>
      <c r="D352" s="85">
        <v>165.2</v>
      </c>
      <c r="E352" s="85">
        <v>210.9</v>
      </c>
      <c r="F352" s="85">
        <v>170.9</v>
      </c>
      <c r="G352" s="85">
        <v>170.9</v>
      </c>
      <c r="H352" s="85">
        <v>186.5</v>
      </c>
      <c r="I352" s="85">
        <v>163.80000000000001</v>
      </c>
      <c r="J352" s="85">
        <v>199.7</v>
      </c>
      <c r="K352" s="85">
        <v>169.8</v>
      </c>
      <c r="L352" s="85">
        <v>121.9</v>
      </c>
      <c r="M352" s="85">
        <v>199.9</v>
      </c>
      <c r="N352" s="85">
        <v>169.9</v>
      </c>
      <c r="O352" s="85">
        <v>188.3</v>
      </c>
      <c r="P352" s="85">
        <v>179.6</v>
      </c>
      <c r="Q352" s="85">
        <v>196.3</v>
      </c>
      <c r="R352" s="85">
        <v>181.9</v>
      </c>
      <c r="S352" s="85">
        <v>175.3</v>
      </c>
      <c r="T352" s="85">
        <v>181</v>
      </c>
      <c r="U352" s="85">
        <v>171.2</v>
      </c>
      <c r="V352" s="85">
        <v>180.5</v>
      </c>
      <c r="W352" s="85">
        <v>170.4</v>
      </c>
      <c r="X352" s="85">
        <v>178.7</v>
      </c>
      <c r="Y352" s="85">
        <v>162.9</v>
      </c>
      <c r="Z352" s="85">
        <v>168.2</v>
      </c>
      <c r="AA352" s="85">
        <v>173.4</v>
      </c>
      <c r="AB352" s="85">
        <v>172.1</v>
      </c>
      <c r="AC352" s="85">
        <v>170.5</v>
      </c>
      <c r="AD352" s="85">
        <v>176.7</v>
      </c>
      <c r="AE352" s="85">
        <f t="shared" si="42"/>
        <v>2297.3000000000002</v>
      </c>
      <c r="AF352" s="85">
        <f t="shared" si="43"/>
        <v>196.3</v>
      </c>
      <c r="AG352" s="85">
        <f t="shared" si="44"/>
        <v>538.20000000000005</v>
      </c>
      <c r="AH352" s="85">
        <f t="shared" si="45"/>
        <v>522.1</v>
      </c>
      <c r="AI352" s="85">
        <f t="shared" si="46"/>
        <v>524.20000000000005</v>
      </c>
      <c r="AJ352" s="85">
        <f t="shared" si="47"/>
        <v>162.9</v>
      </c>
      <c r="AK352" s="85">
        <f t="shared" si="48"/>
        <v>168.2</v>
      </c>
      <c r="AL352" s="85">
        <f t="shared" si="49"/>
        <v>170.5</v>
      </c>
      <c r="AM352" s="86"/>
    </row>
    <row r="353" spans="1:39" x14ac:dyDescent="0.3">
      <c r="A353" s="87" t="s">
        <v>30</v>
      </c>
      <c r="B353" s="88">
        <v>2022</v>
      </c>
      <c r="C353" s="88" t="s">
        <v>45</v>
      </c>
      <c r="D353" s="88">
        <v>166.9</v>
      </c>
      <c r="E353" s="88">
        <v>207.2</v>
      </c>
      <c r="F353" s="88">
        <v>180.2</v>
      </c>
      <c r="G353" s="88">
        <v>172.3</v>
      </c>
      <c r="H353" s="88">
        <v>194</v>
      </c>
      <c r="I353" s="88">
        <v>159.1</v>
      </c>
      <c r="J353" s="88">
        <v>171.6</v>
      </c>
      <c r="K353" s="88">
        <v>170.2</v>
      </c>
      <c r="L353" s="88">
        <v>121.5</v>
      </c>
      <c r="M353" s="88">
        <v>204.8</v>
      </c>
      <c r="N353" s="88">
        <v>176.4</v>
      </c>
      <c r="O353" s="88">
        <v>186.9</v>
      </c>
      <c r="P353" s="88">
        <v>176.6</v>
      </c>
      <c r="Q353" s="88">
        <v>195.5</v>
      </c>
      <c r="R353" s="88">
        <v>187.2</v>
      </c>
      <c r="S353" s="88">
        <v>185.2</v>
      </c>
      <c r="T353" s="88">
        <v>186.9</v>
      </c>
      <c r="U353" s="88" t="s">
        <v>32</v>
      </c>
      <c r="V353" s="88">
        <v>181.9</v>
      </c>
      <c r="W353" s="88">
        <v>175.5</v>
      </c>
      <c r="X353" s="88">
        <v>182.3</v>
      </c>
      <c r="Y353" s="88">
        <v>167.5</v>
      </c>
      <c r="Z353" s="88">
        <v>170.8</v>
      </c>
      <c r="AA353" s="88">
        <v>176.9</v>
      </c>
      <c r="AB353" s="88">
        <v>173.4</v>
      </c>
      <c r="AC353" s="88">
        <v>174.6</v>
      </c>
      <c r="AD353" s="88">
        <v>177.8</v>
      </c>
      <c r="AE353" s="88">
        <f t="shared" si="42"/>
        <v>2287.6999999999998</v>
      </c>
      <c r="AF353" s="88">
        <f t="shared" si="43"/>
        <v>195.5</v>
      </c>
      <c r="AG353" s="88">
        <f t="shared" si="44"/>
        <v>559.29999999999995</v>
      </c>
      <c r="AH353" s="88">
        <f t="shared" si="45"/>
        <v>357.4</v>
      </c>
      <c r="AI353" s="88">
        <f t="shared" si="46"/>
        <v>532.6</v>
      </c>
      <c r="AJ353" s="88">
        <f t="shared" si="47"/>
        <v>167.5</v>
      </c>
      <c r="AK353" s="88">
        <f t="shared" si="48"/>
        <v>170.8</v>
      </c>
      <c r="AL353" s="88">
        <f t="shared" si="49"/>
        <v>174.6</v>
      </c>
      <c r="AM353" s="89"/>
    </row>
    <row r="354" spans="1:39" x14ac:dyDescent="0.3">
      <c r="A354" s="84" t="s">
        <v>33</v>
      </c>
      <c r="B354" s="85">
        <v>2022</v>
      </c>
      <c r="C354" s="85" t="s">
        <v>45</v>
      </c>
      <c r="D354" s="85">
        <v>168.4</v>
      </c>
      <c r="E354" s="85">
        <v>213.4</v>
      </c>
      <c r="F354" s="85">
        <v>183.2</v>
      </c>
      <c r="G354" s="85">
        <v>172.3</v>
      </c>
      <c r="H354" s="85">
        <v>180</v>
      </c>
      <c r="I354" s="85">
        <v>162.6</v>
      </c>
      <c r="J354" s="85">
        <v>205.5</v>
      </c>
      <c r="K354" s="85">
        <v>171</v>
      </c>
      <c r="L354" s="85">
        <v>123.4</v>
      </c>
      <c r="M354" s="85">
        <v>198.8</v>
      </c>
      <c r="N354" s="85">
        <v>162.1</v>
      </c>
      <c r="O354" s="85">
        <v>192.4</v>
      </c>
      <c r="P354" s="85">
        <v>181.3</v>
      </c>
      <c r="Q354" s="85">
        <v>200.6</v>
      </c>
      <c r="R354" s="85">
        <v>176.7</v>
      </c>
      <c r="S354" s="85">
        <v>163.5</v>
      </c>
      <c r="T354" s="85">
        <v>174.7</v>
      </c>
      <c r="U354" s="85">
        <v>171.8</v>
      </c>
      <c r="V354" s="85">
        <v>180.3</v>
      </c>
      <c r="W354" s="85">
        <v>166.9</v>
      </c>
      <c r="X354" s="85">
        <v>175.8</v>
      </c>
      <c r="Y354" s="85">
        <v>158.9</v>
      </c>
      <c r="Z354" s="85">
        <v>166.7</v>
      </c>
      <c r="AA354" s="85">
        <v>171.5</v>
      </c>
      <c r="AB354" s="85">
        <v>173.8</v>
      </c>
      <c r="AC354" s="85">
        <v>167.4</v>
      </c>
      <c r="AD354" s="85">
        <v>174.1</v>
      </c>
      <c r="AE354" s="85">
        <f t="shared" si="42"/>
        <v>2314.4</v>
      </c>
      <c r="AF354" s="85">
        <f t="shared" si="43"/>
        <v>200.6</v>
      </c>
      <c r="AG354" s="85">
        <f t="shared" si="44"/>
        <v>514.9</v>
      </c>
      <c r="AH354" s="85">
        <f t="shared" si="45"/>
        <v>519</v>
      </c>
      <c r="AI354" s="85">
        <f t="shared" si="46"/>
        <v>521.1</v>
      </c>
      <c r="AJ354" s="85">
        <f t="shared" si="47"/>
        <v>158.9</v>
      </c>
      <c r="AK354" s="85">
        <f t="shared" si="48"/>
        <v>166.7</v>
      </c>
      <c r="AL354" s="85">
        <f t="shared" si="49"/>
        <v>167.4</v>
      </c>
      <c r="AM354" s="86"/>
    </row>
    <row r="355" spans="1:39" x14ac:dyDescent="0.3">
      <c r="A355" s="87" t="s">
        <v>34</v>
      </c>
      <c r="B355" s="88">
        <v>2022</v>
      </c>
      <c r="C355" s="88" t="s">
        <v>45</v>
      </c>
      <c r="D355" s="88">
        <v>167.4</v>
      </c>
      <c r="E355" s="88">
        <v>209.4</v>
      </c>
      <c r="F355" s="88">
        <v>181.4</v>
      </c>
      <c r="G355" s="88">
        <v>172.3</v>
      </c>
      <c r="H355" s="88">
        <v>188.9</v>
      </c>
      <c r="I355" s="88">
        <v>160.69999999999999</v>
      </c>
      <c r="J355" s="88">
        <v>183.1</v>
      </c>
      <c r="K355" s="88">
        <v>170.5</v>
      </c>
      <c r="L355" s="88">
        <v>122.1</v>
      </c>
      <c r="M355" s="88">
        <v>202.8</v>
      </c>
      <c r="N355" s="88">
        <v>170.4</v>
      </c>
      <c r="O355" s="88">
        <v>189.5</v>
      </c>
      <c r="P355" s="88">
        <v>178.3</v>
      </c>
      <c r="Q355" s="88">
        <v>196.9</v>
      </c>
      <c r="R355" s="88">
        <v>183.1</v>
      </c>
      <c r="S355" s="88">
        <v>176.2</v>
      </c>
      <c r="T355" s="88">
        <v>182.1</v>
      </c>
      <c r="U355" s="88">
        <v>171.8</v>
      </c>
      <c r="V355" s="88">
        <v>181.3</v>
      </c>
      <c r="W355" s="88">
        <v>171.4</v>
      </c>
      <c r="X355" s="88">
        <v>179.8</v>
      </c>
      <c r="Y355" s="88">
        <v>163</v>
      </c>
      <c r="Z355" s="88">
        <v>168.5</v>
      </c>
      <c r="AA355" s="88">
        <v>173.7</v>
      </c>
      <c r="AB355" s="88">
        <v>173.6</v>
      </c>
      <c r="AC355" s="88">
        <v>171.1</v>
      </c>
      <c r="AD355" s="88">
        <v>176.5</v>
      </c>
      <c r="AE355" s="88">
        <f t="shared" si="42"/>
        <v>2296.8000000000002</v>
      </c>
      <c r="AF355" s="88">
        <f t="shared" si="43"/>
        <v>196.9</v>
      </c>
      <c r="AG355" s="88">
        <f t="shared" si="44"/>
        <v>541.4</v>
      </c>
      <c r="AH355" s="88">
        <f t="shared" si="45"/>
        <v>524.5</v>
      </c>
      <c r="AI355" s="88">
        <f t="shared" si="46"/>
        <v>527.1</v>
      </c>
      <c r="AJ355" s="88">
        <f t="shared" si="47"/>
        <v>163</v>
      </c>
      <c r="AK355" s="88">
        <f t="shared" si="48"/>
        <v>168.5</v>
      </c>
      <c r="AL355" s="88">
        <f t="shared" si="49"/>
        <v>171.1</v>
      </c>
      <c r="AM355" s="89"/>
    </row>
    <row r="356" spans="1:39" x14ac:dyDescent="0.3">
      <c r="A356" s="84" t="s">
        <v>30</v>
      </c>
      <c r="B356" s="85">
        <v>2022</v>
      </c>
      <c r="C356" s="85" t="s">
        <v>46</v>
      </c>
      <c r="D356" s="85">
        <v>168.8</v>
      </c>
      <c r="E356" s="85">
        <v>206.9</v>
      </c>
      <c r="F356" s="85">
        <v>189.1</v>
      </c>
      <c r="G356" s="85">
        <v>173.4</v>
      </c>
      <c r="H356" s="85">
        <v>193.9</v>
      </c>
      <c r="I356" s="85">
        <v>156.69999999999999</v>
      </c>
      <c r="J356" s="85">
        <v>150.19999999999999</v>
      </c>
      <c r="K356" s="85">
        <v>170.5</v>
      </c>
      <c r="L356" s="85">
        <v>121.2</v>
      </c>
      <c r="M356" s="85">
        <v>207.5</v>
      </c>
      <c r="N356" s="85">
        <v>176.8</v>
      </c>
      <c r="O356" s="85">
        <v>187.7</v>
      </c>
      <c r="P356" s="85">
        <v>174.4</v>
      </c>
      <c r="Q356" s="85">
        <v>195.9</v>
      </c>
      <c r="R356" s="85">
        <v>188.1</v>
      </c>
      <c r="S356" s="85">
        <v>185.9</v>
      </c>
      <c r="T356" s="85">
        <v>187.8</v>
      </c>
      <c r="U356" s="85" t="s">
        <v>32</v>
      </c>
      <c r="V356" s="85">
        <v>182.8</v>
      </c>
      <c r="W356" s="85">
        <v>176.4</v>
      </c>
      <c r="X356" s="85">
        <v>183.5</v>
      </c>
      <c r="Y356" s="85">
        <v>167.8</v>
      </c>
      <c r="Z356" s="85">
        <v>171.2</v>
      </c>
      <c r="AA356" s="85">
        <v>177.3</v>
      </c>
      <c r="AB356" s="85">
        <v>175.7</v>
      </c>
      <c r="AC356" s="85">
        <v>175.5</v>
      </c>
      <c r="AD356" s="85">
        <v>177.1</v>
      </c>
      <c r="AE356" s="85">
        <f t="shared" si="42"/>
        <v>2277.1</v>
      </c>
      <c r="AF356" s="85">
        <f t="shared" si="43"/>
        <v>195.9</v>
      </c>
      <c r="AG356" s="85">
        <f t="shared" si="44"/>
        <v>561.79999999999995</v>
      </c>
      <c r="AH356" s="85">
        <f t="shared" si="45"/>
        <v>359.20000000000005</v>
      </c>
      <c r="AI356" s="85">
        <f t="shared" si="46"/>
        <v>536.5</v>
      </c>
      <c r="AJ356" s="85">
        <f t="shared" si="47"/>
        <v>167.8</v>
      </c>
      <c r="AK356" s="85">
        <f t="shared" si="48"/>
        <v>171.2</v>
      </c>
      <c r="AL356" s="85">
        <f t="shared" si="49"/>
        <v>175.5</v>
      </c>
      <c r="AM356" s="86"/>
    </row>
    <row r="357" spans="1:39" x14ac:dyDescent="0.3">
      <c r="A357" s="87" t="s">
        <v>33</v>
      </c>
      <c r="B357" s="88">
        <v>2022</v>
      </c>
      <c r="C357" s="88" t="s">
        <v>46</v>
      </c>
      <c r="D357" s="88">
        <v>170.2</v>
      </c>
      <c r="E357" s="88">
        <v>212.9</v>
      </c>
      <c r="F357" s="88">
        <v>191.9</v>
      </c>
      <c r="G357" s="88">
        <v>173.9</v>
      </c>
      <c r="H357" s="88">
        <v>179.1</v>
      </c>
      <c r="I357" s="88">
        <v>159.5</v>
      </c>
      <c r="J357" s="88">
        <v>178.7</v>
      </c>
      <c r="K357" s="88">
        <v>171.3</v>
      </c>
      <c r="L357" s="88">
        <v>123.1</v>
      </c>
      <c r="M357" s="88">
        <v>200.5</v>
      </c>
      <c r="N357" s="88">
        <v>162.80000000000001</v>
      </c>
      <c r="O357" s="88">
        <v>193.3</v>
      </c>
      <c r="P357" s="88">
        <v>178.6</v>
      </c>
      <c r="Q357" s="88">
        <v>201.1</v>
      </c>
      <c r="R357" s="88">
        <v>177.7</v>
      </c>
      <c r="S357" s="88">
        <v>164.5</v>
      </c>
      <c r="T357" s="88">
        <v>175.7</v>
      </c>
      <c r="U357" s="88">
        <v>170.7</v>
      </c>
      <c r="V357" s="88">
        <v>180.6</v>
      </c>
      <c r="W357" s="88">
        <v>167.3</v>
      </c>
      <c r="X357" s="88">
        <v>177.2</v>
      </c>
      <c r="Y357" s="88">
        <v>159.4</v>
      </c>
      <c r="Z357" s="88">
        <v>167.1</v>
      </c>
      <c r="AA357" s="88">
        <v>171.8</v>
      </c>
      <c r="AB357" s="88">
        <v>176</v>
      </c>
      <c r="AC357" s="88">
        <v>168.2</v>
      </c>
      <c r="AD357" s="88">
        <v>174.1</v>
      </c>
      <c r="AE357" s="88">
        <f t="shared" si="42"/>
        <v>2295.7999999999997</v>
      </c>
      <c r="AF357" s="88">
        <f t="shared" si="43"/>
        <v>201.1</v>
      </c>
      <c r="AG357" s="88">
        <f t="shared" si="44"/>
        <v>517.9</v>
      </c>
      <c r="AH357" s="88">
        <f t="shared" si="45"/>
        <v>518.59999999999991</v>
      </c>
      <c r="AI357" s="88">
        <f t="shared" si="46"/>
        <v>525</v>
      </c>
      <c r="AJ357" s="88">
        <f t="shared" si="47"/>
        <v>159.4</v>
      </c>
      <c r="AK357" s="88">
        <f t="shared" si="48"/>
        <v>167.1</v>
      </c>
      <c r="AL357" s="88">
        <f t="shared" si="49"/>
        <v>168.2</v>
      </c>
      <c r="AM357" s="89"/>
    </row>
    <row r="358" spans="1:39" x14ac:dyDescent="0.3">
      <c r="A358" s="84" t="s">
        <v>34</v>
      </c>
      <c r="B358" s="85">
        <v>2022</v>
      </c>
      <c r="C358" s="85" t="s">
        <v>46</v>
      </c>
      <c r="D358" s="85">
        <v>169.2</v>
      </c>
      <c r="E358" s="85">
        <v>209</v>
      </c>
      <c r="F358" s="85">
        <v>190.2</v>
      </c>
      <c r="G358" s="85">
        <v>173.6</v>
      </c>
      <c r="H358" s="85">
        <v>188.5</v>
      </c>
      <c r="I358" s="85">
        <v>158</v>
      </c>
      <c r="J358" s="85">
        <v>159.9</v>
      </c>
      <c r="K358" s="85">
        <v>170.8</v>
      </c>
      <c r="L358" s="85">
        <v>121.8</v>
      </c>
      <c r="M358" s="85">
        <v>205.2</v>
      </c>
      <c r="N358" s="85">
        <v>171</v>
      </c>
      <c r="O358" s="85">
        <v>190.3</v>
      </c>
      <c r="P358" s="85">
        <v>175.9</v>
      </c>
      <c r="Q358" s="85">
        <v>197.3</v>
      </c>
      <c r="R358" s="85">
        <v>184</v>
      </c>
      <c r="S358" s="85">
        <v>177</v>
      </c>
      <c r="T358" s="85">
        <v>183</v>
      </c>
      <c r="U358" s="85">
        <v>170.7</v>
      </c>
      <c r="V358" s="85">
        <v>182</v>
      </c>
      <c r="W358" s="85">
        <v>172.1</v>
      </c>
      <c r="X358" s="85">
        <v>181.1</v>
      </c>
      <c r="Y358" s="85">
        <v>163.4</v>
      </c>
      <c r="Z358" s="85">
        <v>168.9</v>
      </c>
      <c r="AA358" s="85">
        <v>174.1</v>
      </c>
      <c r="AB358" s="85">
        <v>175.8</v>
      </c>
      <c r="AC358" s="85">
        <v>172</v>
      </c>
      <c r="AD358" s="85">
        <v>175.7</v>
      </c>
      <c r="AE358" s="85">
        <f t="shared" si="42"/>
        <v>2283.4</v>
      </c>
      <c r="AF358" s="85">
        <f t="shared" si="43"/>
        <v>197.3</v>
      </c>
      <c r="AG358" s="85">
        <f t="shared" si="44"/>
        <v>544</v>
      </c>
      <c r="AH358" s="85">
        <f t="shared" si="45"/>
        <v>524.79999999999995</v>
      </c>
      <c r="AI358" s="85">
        <f t="shared" si="46"/>
        <v>531</v>
      </c>
      <c r="AJ358" s="85">
        <f t="shared" si="47"/>
        <v>163.4</v>
      </c>
      <c r="AK358" s="85">
        <f t="shared" si="48"/>
        <v>168.9</v>
      </c>
      <c r="AL358" s="85">
        <f t="shared" si="49"/>
        <v>172</v>
      </c>
      <c r="AM358" s="86"/>
    </row>
    <row r="359" spans="1:39" x14ac:dyDescent="0.3">
      <c r="A359" s="87" t="s">
        <v>30</v>
      </c>
      <c r="B359" s="88">
        <v>2023</v>
      </c>
      <c r="C359" s="88" t="s">
        <v>31</v>
      </c>
      <c r="D359" s="88">
        <v>174</v>
      </c>
      <c r="E359" s="88">
        <v>208.3</v>
      </c>
      <c r="F359" s="88">
        <v>192.9</v>
      </c>
      <c r="G359" s="88">
        <v>174.3</v>
      </c>
      <c r="H359" s="88">
        <v>192.6</v>
      </c>
      <c r="I359" s="88">
        <v>156.30000000000001</v>
      </c>
      <c r="J359" s="88">
        <v>142.9</v>
      </c>
      <c r="K359" s="88">
        <v>170.7</v>
      </c>
      <c r="L359" s="88">
        <v>120.3</v>
      </c>
      <c r="M359" s="88">
        <v>210.5</v>
      </c>
      <c r="N359" s="88">
        <v>176.9</v>
      </c>
      <c r="O359" s="88">
        <v>188.5</v>
      </c>
      <c r="P359" s="88">
        <v>175</v>
      </c>
      <c r="Q359" s="88">
        <v>196.9</v>
      </c>
      <c r="R359" s="88">
        <v>189</v>
      </c>
      <c r="S359" s="88">
        <v>186.3</v>
      </c>
      <c r="T359" s="88">
        <v>188.6</v>
      </c>
      <c r="U359" s="88" t="s">
        <v>32</v>
      </c>
      <c r="V359" s="88">
        <v>183.2</v>
      </c>
      <c r="W359" s="88">
        <v>177.2</v>
      </c>
      <c r="X359" s="88">
        <v>184.7</v>
      </c>
      <c r="Y359" s="88">
        <v>168.2</v>
      </c>
      <c r="Z359" s="88">
        <v>171.8</v>
      </c>
      <c r="AA359" s="88">
        <v>177.8</v>
      </c>
      <c r="AB359" s="88">
        <v>178.4</v>
      </c>
      <c r="AC359" s="88">
        <v>176.5</v>
      </c>
      <c r="AD359" s="88">
        <v>177.8</v>
      </c>
      <c r="AE359" s="88">
        <f t="shared" si="42"/>
        <v>2283.2000000000003</v>
      </c>
      <c r="AF359" s="88">
        <f t="shared" si="43"/>
        <v>196.9</v>
      </c>
      <c r="AG359" s="88">
        <f t="shared" si="44"/>
        <v>563.9</v>
      </c>
      <c r="AH359" s="88">
        <f t="shared" si="45"/>
        <v>360.4</v>
      </c>
      <c r="AI359" s="88">
        <f t="shared" si="46"/>
        <v>540.9</v>
      </c>
      <c r="AJ359" s="88">
        <f t="shared" si="47"/>
        <v>168.2</v>
      </c>
      <c r="AK359" s="88">
        <f t="shared" si="48"/>
        <v>171.8</v>
      </c>
      <c r="AL359" s="88">
        <f t="shared" si="49"/>
        <v>176.5</v>
      </c>
      <c r="AM359" s="89"/>
    </row>
    <row r="360" spans="1:39" x14ac:dyDescent="0.3">
      <c r="A360" s="84" t="s">
        <v>33</v>
      </c>
      <c r="B360" s="85">
        <v>2023</v>
      </c>
      <c r="C360" s="85" t="s">
        <v>31</v>
      </c>
      <c r="D360" s="85">
        <v>173.3</v>
      </c>
      <c r="E360" s="85">
        <v>215.2</v>
      </c>
      <c r="F360" s="85">
        <v>197</v>
      </c>
      <c r="G360" s="85">
        <v>175.2</v>
      </c>
      <c r="H360" s="85">
        <v>178</v>
      </c>
      <c r="I360" s="85">
        <v>160.5</v>
      </c>
      <c r="J360" s="85">
        <v>175.3</v>
      </c>
      <c r="K360" s="85">
        <v>171.2</v>
      </c>
      <c r="L360" s="85">
        <v>122.7</v>
      </c>
      <c r="M360" s="85">
        <v>204.3</v>
      </c>
      <c r="N360" s="85">
        <v>163.69999999999999</v>
      </c>
      <c r="O360" s="85">
        <v>194.3</v>
      </c>
      <c r="P360" s="85">
        <v>179.5</v>
      </c>
      <c r="Q360" s="85">
        <v>201.6</v>
      </c>
      <c r="R360" s="85">
        <v>178.7</v>
      </c>
      <c r="S360" s="85">
        <v>165.3</v>
      </c>
      <c r="T360" s="85">
        <v>176.6</v>
      </c>
      <c r="U360" s="85">
        <v>172.1</v>
      </c>
      <c r="V360" s="85">
        <v>180.1</v>
      </c>
      <c r="W360" s="85">
        <v>168</v>
      </c>
      <c r="X360" s="85">
        <v>178.5</v>
      </c>
      <c r="Y360" s="85">
        <v>159.5</v>
      </c>
      <c r="Z360" s="85">
        <v>167.8</v>
      </c>
      <c r="AA360" s="85">
        <v>171.8</v>
      </c>
      <c r="AB360" s="85">
        <v>178.8</v>
      </c>
      <c r="AC360" s="85">
        <v>168.9</v>
      </c>
      <c r="AD360" s="85">
        <v>174.9</v>
      </c>
      <c r="AE360" s="85">
        <f t="shared" si="42"/>
        <v>2310.2000000000003</v>
      </c>
      <c r="AF360" s="85">
        <f t="shared" si="43"/>
        <v>201.6</v>
      </c>
      <c r="AG360" s="85">
        <f t="shared" si="44"/>
        <v>520.6</v>
      </c>
      <c r="AH360" s="85">
        <f t="shared" si="45"/>
        <v>520.20000000000005</v>
      </c>
      <c r="AI360" s="85">
        <f t="shared" si="46"/>
        <v>529.1</v>
      </c>
      <c r="AJ360" s="85">
        <f t="shared" si="47"/>
        <v>159.5</v>
      </c>
      <c r="AK360" s="85">
        <f t="shared" si="48"/>
        <v>167.8</v>
      </c>
      <c r="AL360" s="85">
        <f t="shared" si="49"/>
        <v>168.9</v>
      </c>
      <c r="AM360" s="86"/>
    </row>
    <row r="361" spans="1:39" x14ac:dyDescent="0.3">
      <c r="A361" s="87" t="s">
        <v>34</v>
      </c>
      <c r="B361" s="88">
        <v>2023</v>
      </c>
      <c r="C361" s="88" t="s">
        <v>31</v>
      </c>
      <c r="D361" s="88">
        <v>173.8</v>
      </c>
      <c r="E361" s="88">
        <v>210.7</v>
      </c>
      <c r="F361" s="88">
        <v>194.5</v>
      </c>
      <c r="G361" s="88">
        <v>174.6</v>
      </c>
      <c r="H361" s="88">
        <v>187.2</v>
      </c>
      <c r="I361" s="88">
        <v>158.30000000000001</v>
      </c>
      <c r="J361" s="88">
        <v>153.9</v>
      </c>
      <c r="K361" s="88">
        <v>170.9</v>
      </c>
      <c r="L361" s="88">
        <v>121.1</v>
      </c>
      <c r="M361" s="88">
        <v>208.4</v>
      </c>
      <c r="N361" s="88">
        <v>171.4</v>
      </c>
      <c r="O361" s="88">
        <v>191.2</v>
      </c>
      <c r="P361" s="88">
        <v>176.7</v>
      </c>
      <c r="Q361" s="88">
        <v>198.2</v>
      </c>
      <c r="R361" s="88">
        <v>184.9</v>
      </c>
      <c r="S361" s="88">
        <v>177.6</v>
      </c>
      <c r="T361" s="88">
        <v>183.8</v>
      </c>
      <c r="U361" s="88">
        <v>172.1</v>
      </c>
      <c r="V361" s="88">
        <v>182</v>
      </c>
      <c r="W361" s="88">
        <v>172.9</v>
      </c>
      <c r="X361" s="88">
        <v>182.3</v>
      </c>
      <c r="Y361" s="88">
        <v>163.6</v>
      </c>
      <c r="Z361" s="88">
        <v>169.5</v>
      </c>
      <c r="AA361" s="88">
        <v>174.3</v>
      </c>
      <c r="AB361" s="88">
        <v>178.6</v>
      </c>
      <c r="AC361" s="88">
        <v>172.8</v>
      </c>
      <c r="AD361" s="88">
        <v>176.5</v>
      </c>
      <c r="AE361" s="88">
        <f t="shared" si="42"/>
        <v>2292.6999999999998</v>
      </c>
      <c r="AF361" s="88">
        <f t="shared" si="43"/>
        <v>198.2</v>
      </c>
      <c r="AG361" s="88">
        <f t="shared" si="44"/>
        <v>546.29999999999995</v>
      </c>
      <c r="AH361" s="88">
        <f t="shared" si="45"/>
        <v>527</v>
      </c>
      <c r="AI361" s="88">
        <f t="shared" si="46"/>
        <v>535.20000000000005</v>
      </c>
      <c r="AJ361" s="88">
        <f t="shared" si="47"/>
        <v>163.6</v>
      </c>
      <c r="AK361" s="88">
        <f t="shared" si="48"/>
        <v>169.5</v>
      </c>
      <c r="AL361" s="88">
        <f t="shared" si="49"/>
        <v>172.8</v>
      </c>
      <c r="AM361" s="89"/>
    </row>
    <row r="362" spans="1:39" x14ac:dyDescent="0.3">
      <c r="A362" s="84" t="s">
        <v>30</v>
      </c>
      <c r="B362" s="85">
        <v>2023</v>
      </c>
      <c r="C362" s="85" t="s">
        <v>35</v>
      </c>
      <c r="D362" s="85">
        <v>174.2</v>
      </c>
      <c r="E362" s="85">
        <v>205.2</v>
      </c>
      <c r="F362" s="85">
        <v>173.9</v>
      </c>
      <c r="G362" s="85">
        <v>177</v>
      </c>
      <c r="H362" s="85">
        <v>183.4</v>
      </c>
      <c r="I362" s="85">
        <v>167.2</v>
      </c>
      <c r="J362" s="85">
        <v>140.9</v>
      </c>
      <c r="K362" s="85">
        <v>170.4</v>
      </c>
      <c r="L362" s="85">
        <v>119.1</v>
      </c>
      <c r="M362" s="85">
        <v>212.1</v>
      </c>
      <c r="N362" s="85">
        <v>177.6</v>
      </c>
      <c r="O362" s="85">
        <v>189.9</v>
      </c>
      <c r="P362" s="85">
        <v>174.8</v>
      </c>
      <c r="Q362" s="85">
        <v>198.3</v>
      </c>
      <c r="R362" s="85">
        <v>190</v>
      </c>
      <c r="S362" s="85">
        <v>187</v>
      </c>
      <c r="T362" s="85">
        <v>189.6</v>
      </c>
      <c r="U362" s="85" t="s">
        <v>32</v>
      </c>
      <c r="V362" s="85">
        <v>181.6</v>
      </c>
      <c r="W362" s="85">
        <v>178.6</v>
      </c>
      <c r="X362" s="85">
        <v>186.6</v>
      </c>
      <c r="Y362" s="85">
        <v>169</v>
      </c>
      <c r="Z362" s="85">
        <v>172.8</v>
      </c>
      <c r="AA362" s="85">
        <v>178.5</v>
      </c>
      <c r="AB362" s="85">
        <v>180.7</v>
      </c>
      <c r="AC362" s="85">
        <v>177.9</v>
      </c>
      <c r="AD362" s="85">
        <v>178</v>
      </c>
      <c r="AE362" s="85">
        <f t="shared" si="42"/>
        <v>2265.6999999999998</v>
      </c>
      <c r="AF362" s="85">
        <f t="shared" si="43"/>
        <v>198.3</v>
      </c>
      <c r="AG362" s="85">
        <f t="shared" si="44"/>
        <v>566.6</v>
      </c>
      <c r="AH362" s="85">
        <f t="shared" si="45"/>
        <v>360.2</v>
      </c>
      <c r="AI362" s="85">
        <f t="shared" si="46"/>
        <v>545.79999999999995</v>
      </c>
      <c r="AJ362" s="85">
        <f t="shared" si="47"/>
        <v>169</v>
      </c>
      <c r="AK362" s="85">
        <f t="shared" si="48"/>
        <v>172.8</v>
      </c>
      <c r="AL362" s="85">
        <f t="shared" si="49"/>
        <v>177.9</v>
      </c>
      <c r="AM362" s="86"/>
    </row>
    <row r="363" spans="1:39" x14ac:dyDescent="0.3">
      <c r="A363" s="87" t="s">
        <v>33</v>
      </c>
      <c r="B363" s="88">
        <v>2023</v>
      </c>
      <c r="C363" s="88" t="s">
        <v>35</v>
      </c>
      <c r="D363" s="88">
        <v>174.7</v>
      </c>
      <c r="E363" s="88">
        <v>212.2</v>
      </c>
      <c r="F363" s="88">
        <v>177.2</v>
      </c>
      <c r="G363" s="88">
        <v>177.9</v>
      </c>
      <c r="H363" s="88">
        <v>172.2</v>
      </c>
      <c r="I363" s="88">
        <v>172.1</v>
      </c>
      <c r="J363" s="88">
        <v>175.8</v>
      </c>
      <c r="K363" s="88">
        <v>172.2</v>
      </c>
      <c r="L363" s="88">
        <v>121.9</v>
      </c>
      <c r="M363" s="88">
        <v>204.8</v>
      </c>
      <c r="N363" s="88">
        <v>164.9</v>
      </c>
      <c r="O363" s="88">
        <v>196.6</v>
      </c>
      <c r="P363" s="88">
        <v>180.7</v>
      </c>
      <c r="Q363" s="88">
        <v>202.7</v>
      </c>
      <c r="R363" s="88">
        <v>180.3</v>
      </c>
      <c r="S363" s="88">
        <v>167</v>
      </c>
      <c r="T363" s="88">
        <v>178.2</v>
      </c>
      <c r="U363" s="88">
        <v>173.5</v>
      </c>
      <c r="V363" s="88">
        <v>182.8</v>
      </c>
      <c r="W363" s="88">
        <v>169.2</v>
      </c>
      <c r="X363" s="88">
        <v>180.8</v>
      </c>
      <c r="Y363" s="88">
        <v>159.80000000000001</v>
      </c>
      <c r="Z363" s="88">
        <v>168.4</v>
      </c>
      <c r="AA363" s="88">
        <v>172.5</v>
      </c>
      <c r="AB363" s="88">
        <v>181.4</v>
      </c>
      <c r="AC363" s="88">
        <v>170</v>
      </c>
      <c r="AD363" s="88">
        <v>176.3</v>
      </c>
      <c r="AE363" s="88">
        <f t="shared" si="42"/>
        <v>2303.1999999999998</v>
      </c>
      <c r="AF363" s="88">
        <f t="shared" si="43"/>
        <v>202.7</v>
      </c>
      <c r="AG363" s="88">
        <f t="shared" si="44"/>
        <v>525.5</v>
      </c>
      <c r="AH363" s="88">
        <f t="shared" si="45"/>
        <v>525.5</v>
      </c>
      <c r="AI363" s="88">
        <f t="shared" si="46"/>
        <v>534.70000000000005</v>
      </c>
      <c r="AJ363" s="88">
        <f t="shared" si="47"/>
        <v>159.80000000000001</v>
      </c>
      <c r="AK363" s="88">
        <f t="shared" si="48"/>
        <v>168.4</v>
      </c>
      <c r="AL363" s="88">
        <f t="shared" si="49"/>
        <v>170</v>
      </c>
      <c r="AM363" s="89"/>
    </row>
    <row r="364" spans="1:39" x14ac:dyDescent="0.3">
      <c r="A364" s="84" t="s">
        <v>34</v>
      </c>
      <c r="B364" s="85">
        <v>2023</v>
      </c>
      <c r="C364" s="85" t="s">
        <v>35</v>
      </c>
      <c r="D364" s="85">
        <v>174.4</v>
      </c>
      <c r="E364" s="85">
        <v>207.7</v>
      </c>
      <c r="F364" s="85">
        <v>175.2</v>
      </c>
      <c r="G364" s="85">
        <v>177.3</v>
      </c>
      <c r="H364" s="85">
        <v>179.3</v>
      </c>
      <c r="I364" s="85">
        <v>169.5</v>
      </c>
      <c r="J364" s="85">
        <v>152.69999999999999</v>
      </c>
      <c r="K364" s="85">
        <v>171</v>
      </c>
      <c r="L364" s="85">
        <v>120</v>
      </c>
      <c r="M364" s="85">
        <v>209.7</v>
      </c>
      <c r="N364" s="85">
        <v>172.3</v>
      </c>
      <c r="O364" s="85">
        <v>193</v>
      </c>
      <c r="P364" s="85">
        <v>177</v>
      </c>
      <c r="Q364" s="85">
        <v>199.5</v>
      </c>
      <c r="R364" s="85">
        <v>186.2</v>
      </c>
      <c r="S364" s="85">
        <v>178.7</v>
      </c>
      <c r="T364" s="85">
        <v>185.1</v>
      </c>
      <c r="U364" s="85">
        <v>173.5</v>
      </c>
      <c r="V364" s="85">
        <v>182.1</v>
      </c>
      <c r="W364" s="85">
        <v>174.2</v>
      </c>
      <c r="X364" s="85">
        <v>184.4</v>
      </c>
      <c r="Y364" s="85">
        <v>164.2</v>
      </c>
      <c r="Z364" s="85">
        <v>170.3</v>
      </c>
      <c r="AA364" s="85">
        <v>175</v>
      </c>
      <c r="AB364" s="85">
        <v>181</v>
      </c>
      <c r="AC364" s="85">
        <v>174.1</v>
      </c>
      <c r="AD364" s="85">
        <v>177.2</v>
      </c>
      <c r="AE364" s="85">
        <f t="shared" si="42"/>
        <v>2279.1</v>
      </c>
      <c r="AF364" s="85">
        <f t="shared" si="43"/>
        <v>199.5</v>
      </c>
      <c r="AG364" s="85">
        <f t="shared" si="44"/>
        <v>550</v>
      </c>
      <c r="AH364" s="85">
        <f t="shared" si="45"/>
        <v>529.79999999999995</v>
      </c>
      <c r="AI364" s="85">
        <f t="shared" si="46"/>
        <v>540.4</v>
      </c>
      <c r="AJ364" s="85">
        <f t="shared" si="47"/>
        <v>164.2</v>
      </c>
      <c r="AK364" s="85">
        <f t="shared" si="48"/>
        <v>170.3</v>
      </c>
      <c r="AL364" s="85">
        <f t="shared" si="49"/>
        <v>174.1</v>
      </c>
      <c r="AM364" s="86"/>
    </row>
    <row r="365" spans="1:39" x14ac:dyDescent="0.3">
      <c r="A365" s="87" t="s">
        <v>30</v>
      </c>
      <c r="B365" s="88">
        <v>2023</v>
      </c>
      <c r="C365" s="88" t="s">
        <v>36</v>
      </c>
      <c r="D365" s="88">
        <v>174.3</v>
      </c>
      <c r="E365" s="88">
        <v>205.2</v>
      </c>
      <c r="F365" s="88">
        <v>173.9</v>
      </c>
      <c r="G365" s="88">
        <v>177</v>
      </c>
      <c r="H365" s="88">
        <v>183.3</v>
      </c>
      <c r="I365" s="88">
        <v>167.2</v>
      </c>
      <c r="J365" s="88">
        <v>140.9</v>
      </c>
      <c r="K365" s="88">
        <v>170.5</v>
      </c>
      <c r="L365" s="88">
        <v>119.1</v>
      </c>
      <c r="M365" s="88">
        <v>212.1</v>
      </c>
      <c r="N365" s="88">
        <v>177.6</v>
      </c>
      <c r="O365" s="88">
        <v>189.9</v>
      </c>
      <c r="P365" s="88">
        <v>174.8</v>
      </c>
      <c r="Q365" s="88">
        <v>198.4</v>
      </c>
      <c r="R365" s="88">
        <v>190</v>
      </c>
      <c r="S365" s="88">
        <v>187</v>
      </c>
      <c r="T365" s="88">
        <v>189.6</v>
      </c>
      <c r="U365" s="88" t="s">
        <v>32</v>
      </c>
      <c r="V365" s="88">
        <v>181.4</v>
      </c>
      <c r="W365" s="88">
        <v>178.6</v>
      </c>
      <c r="X365" s="88">
        <v>186.6</v>
      </c>
      <c r="Y365" s="88">
        <v>169</v>
      </c>
      <c r="Z365" s="88">
        <v>172.8</v>
      </c>
      <c r="AA365" s="88">
        <v>178.5</v>
      </c>
      <c r="AB365" s="88">
        <v>180.7</v>
      </c>
      <c r="AC365" s="88">
        <v>177.9</v>
      </c>
      <c r="AD365" s="88">
        <v>178</v>
      </c>
      <c r="AE365" s="88">
        <f t="shared" si="42"/>
        <v>2265.8000000000002</v>
      </c>
      <c r="AF365" s="88">
        <f t="shared" si="43"/>
        <v>198.4</v>
      </c>
      <c r="AG365" s="88">
        <f t="shared" si="44"/>
        <v>566.6</v>
      </c>
      <c r="AH365" s="88">
        <f t="shared" si="45"/>
        <v>360</v>
      </c>
      <c r="AI365" s="88">
        <f t="shared" si="46"/>
        <v>545.79999999999995</v>
      </c>
      <c r="AJ365" s="88">
        <f t="shared" si="47"/>
        <v>169</v>
      </c>
      <c r="AK365" s="88">
        <f t="shared" si="48"/>
        <v>172.8</v>
      </c>
      <c r="AL365" s="88">
        <f t="shared" si="49"/>
        <v>177.9</v>
      </c>
      <c r="AM365" s="89"/>
    </row>
    <row r="366" spans="1:39" x14ac:dyDescent="0.3">
      <c r="A366" s="84" t="s">
        <v>33</v>
      </c>
      <c r="B366" s="85">
        <v>2023</v>
      </c>
      <c r="C366" s="85" t="s">
        <v>36</v>
      </c>
      <c r="D366" s="85">
        <v>174.7</v>
      </c>
      <c r="E366" s="85">
        <v>212.2</v>
      </c>
      <c r="F366" s="85">
        <v>177.2</v>
      </c>
      <c r="G366" s="85">
        <v>177.9</v>
      </c>
      <c r="H366" s="85">
        <v>172.2</v>
      </c>
      <c r="I366" s="85">
        <v>172.1</v>
      </c>
      <c r="J366" s="85">
        <v>175.9</v>
      </c>
      <c r="K366" s="85">
        <v>172.2</v>
      </c>
      <c r="L366" s="85">
        <v>121.9</v>
      </c>
      <c r="M366" s="85">
        <v>204.8</v>
      </c>
      <c r="N366" s="85">
        <v>164.9</v>
      </c>
      <c r="O366" s="85">
        <v>196.6</v>
      </c>
      <c r="P366" s="85">
        <v>180.8</v>
      </c>
      <c r="Q366" s="85">
        <v>202.7</v>
      </c>
      <c r="R366" s="85">
        <v>180.2</v>
      </c>
      <c r="S366" s="85">
        <v>167</v>
      </c>
      <c r="T366" s="85">
        <v>178.2</v>
      </c>
      <c r="U366" s="85">
        <v>173.5</v>
      </c>
      <c r="V366" s="85">
        <v>182.6</v>
      </c>
      <c r="W366" s="85">
        <v>169.2</v>
      </c>
      <c r="X366" s="85">
        <v>180.8</v>
      </c>
      <c r="Y366" s="85">
        <v>159.80000000000001</v>
      </c>
      <c r="Z366" s="85">
        <v>168.4</v>
      </c>
      <c r="AA366" s="85">
        <v>172.5</v>
      </c>
      <c r="AB366" s="85">
        <v>181.5</v>
      </c>
      <c r="AC366" s="85">
        <v>170</v>
      </c>
      <c r="AD366" s="85">
        <v>176.3</v>
      </c>
      <c r="AE366" s="85">
        <f t="shared" si="42"/>
        <v>2303.4</v>
      </c>
      <c r="AF366" s="85">
        <f t="shared" si="43"/>
        <v>202.7</v>
      </c>
      <c r="AG366" s="85">
        <f t="shared" si="44"/>
        <v>525.4</v>
      </c>
      <c r="AH366" s="85">
        <f t="shared" si="45"/>
        <v>525.29999999999995</v>
      </c>
      <c r="AI366" s="85">
        <f t="shared" si="46"/>
        <v>534.79999999999995</v>
      </c>
      <c r="AJ366" s="85">
        <f t="shared" si="47"/>
        <v>159.80000000000001</v>
      </c>
      <c r="AK366" s="85">
        <f t="shared" si="48"/>
        <v>168.4</v>
      </c>
      <c r="AL366" s="85">
        <f t="shared" si="49"/>
        <v>170</v>
      </c>
      <c r="AM366" s="86"/>
    </row>
    <row r="367" spans="1:39" x14ac:dyDescent="0.3">
      <c r="A367" s="87" t="s">
        <v>34</v>
      </c>
      <c r="B367" s="88">
        <v>2023</v>
      </c>
      <c r="C367" s="88" t="s">
        <v>36</v>
      </c>
      <c r="D367" s="88">
        <v>174.4</v>
      </c>
      <c r="E367" s="88">
        <v>207.7</v>
      </c>
      <c r="F367" s="88">
        <v>175.2</v>
      </c>
      <c r="G367" s="88">
        <v>177.3</v>
      </c>
      <c r="H367" s="88">
        <v>179.2</v>
      </c>
      <c r="I367" s="88">
        <v>169.5</v>
      </c>
      <c r="J367" s="88">
        <v>152.80000000000001</v>
      </c>
      <c r="K367" s="88">
        <v>171.1</v>
      </c>
      <c r="L367" s="88">
        <v>120</v>
      </c>
      <c r="M367" s="88">
        <v>209.7</v>
      </c>
      <c r="N367" s="88">
        <v>172.3</v>
      </c>
      <c r="O367" s="88">
        <v>193</v>
      </c>
      <c r="P367" s="88">
        <v>177</v>
      </c>
      <c r="Q367" s="88">
        <v>199.5</v>
      </c>
      <c r="R367" s="88">
        <v>186.1</v>
      </c>
      <c r="S367" s="88">
        <v>178.7</v>
      </c>
      <c r="T367" s="88">
        <v>185.1</v>
      </c>
      <c r="U367" s="88">
        <v>173.5</v>
      </c>
      <c r="V367" s="88">
        <v>181.9</v>
      </c>
      <c r="W367" s="88">
        <v>174.2</v>
      </c>
      <c r="X367" s="88">
        <v>184.4</v>
      </c>
      <c r="Y367" s="88">
        <v>164.2</v>
      </c>
      <c r="Z367" s="88">
        <v>170.3</v>
      </c>
      <c r="AA367" s="88">
        <v>175</v>
      </c>
      <c r="AB367" s="88">
        <v>181</v>
      </c>
      <c r="AC367" s="88">
        <v>174.1</v>
      </c>
      <c r="AD367" s="88">
        <v>177.2</v>
      </c>
      <c r="AE367" s="88">
        <f t="shared" si="42"/>
        <v>2279.1999999999998</v>
      </c>
      <c r="AF367" s="88">
        <f t="shared" si="43"/>
        <v>199.5</v>
      </c>
      <c r="AG367" s="88">
        <f t="shared" si="44"/>
        <v>549.9</v>
      </c>
      <c r="AH367" s="88">
        <f t="shared" si="45"/>
        <v>529.59999999999991</v>
      </c>
      <c r="AI367" s="88">
        <f t="shared" si="46"/>
        <v>540.4</v>
      </c>
      <c r="AJ367" s="88">
        <f t="shared" si="47"/>
        <v>164.2</v>
      </c>
      <c r="AK367" s="88">
        <f t="shared" si="48"/>
        <v>170.3</v>
      </c>
      <c r="AL367" s="88">
        <f t="shared" si="49"/>
        <v>174.1</v>
      </c>
      <c r="AM367" s="89"/>
    </row>
    <row r="368" spans="1:39" x14ac:dyDescent="0.3">
      <c r="A368" s="84" t="s">
        <v>30</v>
      </c>
      <c r="B368" s="85">
        <v>2023</v>
      </c>
      <c r="C368" s="85" t="s">
        <v>37</v>
      </c>
      <c r="D368" s="85">
        <v>173.3</v>
      </c>
      <c r="E368" s="85">
        <v>206.9</v>
      </c>
      <c r="F368" s="85">
        <v>167.9</v>
      </c>
      <c r="G368" s="85">
        <v>178.2</v>
      </c>
      <c r="H368" s="85">
        <v>178.5</v>
      </c>
      <c r="I368" s="85">
        <v>173.7</v>
      </c>
      <c r="J368" s="85">
        <v>142.80000000000001</v>
      </c>
      <c r="K368" s="85">
        <v>172.8</v>
      </c>
      <c r="L368" s="85">
        <v>120.4</v>
      </c>
      <c r="M368" s="85">
        <v>215.5</v>
      </c>
      <c r="N368" s="85">
        <v>178.2</v>
      </c>
      <c r="O368" s="85">
        <v>190.5</v>
      </c>
      <c r="P368" s="85">
        <v>175.5</v>
      </c>
      <c r="Q368" s="85">
        <v>199.5</v>
      </c>
      <c r="R368" s="85">
        <v>190.7</v>
      </c>
      <c r="S368" s="85">
        <v>187.3</v>
      </c>
      <c r="T368" s="85">
        <v>190.2</v>
      </c>
      <c r="U368" s="85" t="s">
        <v>48</v>
      </c>
      <c r="V368" s="85">
        <v>181.5</v>
      </c>
      <c r="W368" s="85">
        <v>179.1</v>
      </c>
      <c r="X368" s="85">
        <v>187.2</v>
      </c>
      <c r="Y368" s="85">
        <v>169.4</v>
      </c>
      <c r="Z368" s="85">
        <v>173.2</v>
      </c>
      <c r="AA368" s="85">
        <v>179.4</v>
      </c>
      <c r="AB368" s="85">
        <v>183.8</v>
      </c>
      <c r="AC368" s="85">
        <v>178.9</v>
      </c>
      <c r="AD368" s="85">
        <v>178.8</v>
      </c>
      <c r="AE368" s="85">
        <f t="shared" si="42"/>
        <v>2274.1999999999998</v>
      </c>
      <c r="AF368" s="85">
        <f t="shared" si="43"/>
        <v>199.5</v>
      </c>
      <c r="AG368" s="85">
        <f t="shared" si="44"/>
        <v>568.20000000000005</v>
      </c>
      <c r="AH368" s="85">
        <f t="shared" si="45"/>
        <v>360.6</v>
      </c>
      <c r="AI368" s="85">
        <f t="shared" si="46"/>
        <v>550.40000000000009</v>
      </c>
      <c r="AJ368" s="85">
        <f t="shared" si="47"/>
        <v>169.4</v>
      </c>
      <c r="AK368" s="85">
        <f t="shared" si="48"/>
        <v>173.2</v>
      </c>
      <c r="AL368" s="85">
        <f t="shared" si="49"/>
        <v>178.9</v>
      </c>
      <c r="AM368" s="86"/>
    </row>
    <row r="369" spans="1:39" x14ac:dyDescent="0.3">
      <c r="A369" s="87" t="s">
        <v>33</v>
      </c>
      <c r="B369" s="88">
        <v>2023</v>
      </c>
      <c r="C369" s="88" t="s">
        <v>37</v>
      </c>
      <c r="D369" s="88">
        <v>174.8</v>
      </c>
      <c r="E369" s="88">
        <v>213.7</v>
      </c>
      <c r="F369" s="88">
        <v>172.4</v>
      </c>
      <c r="G369" s="88">
        <v>178.8</v>
      </c>
      <c r="H369" s="88">
        <v>168.7</v>
      </c>
      <c r="I369" s="88">
        <v>179.2</v>
      </c>
      <c r="J369" s="88">
        <v>179.9</v>
      </c>
      <c r="K369" s="88">
        <v>174.7</v>
      </c>
      <c r="L369" s="88">
        <v>123.1</v>
      </c>
      <c r="M369" s="88">
        <v>207.8</v>
      </c>
      <c r="N369" s="88">
        <v>165.5</v>
      </c>
      <c r="O369" s="88">
        <v>197</v>
      </c>
      <c r="P369" s="88">
        <v>182.1</v>
      </c>
      <c r="Q369" s="88">
        <v>203.5</v>
      </c>
      <c r="R369" s="88">
        <v>181</v>
      </c>
      <c r="S369" s="88">
        <v>167.7</v>
      </c>
      <c r="T369" s="88">
        <v>178.9</v>
      </c>
      <c r="U369" s="88">
        <v>175.2</v>
      </c>
      <c r="V369" s="88">
        <v>182.1</v>
      </c>
      <c r="W369" s="88">
        <v>169.6</v>
      </c>
      <c r="X369" s="88">
        <v>181.5</v>
      </c>
      <c r="Y369" s="88">
        <v>160.1</v>
      </c>
      <c r="Z369" s="88">
        <v>168.8</v>
      </c>
      <c r="AA369" s="88">
        <v>174.2</v>
      </c>
      <c r="AB369" s="88">
        <v>184.4</v>
      </c>
      <c r="AC369" s="88">
        <v>170.9</v>
      </c>
      <c r="AD369" s="88">
        <v>177.4</v>
      </c>
      <c r="AE369" s="88">
        <f t="shared" si="42"/>
        <v>2317.7000000000003</v>
      </c>
      <c r="AF369" s="88">
        <f t="shared" si="43"/>
        <v>203.5</v>
      </c>
      <c r="AG369" s="88">
        <f t="shared" si="44"/>
        <v>527.6</v>
      </c>
      <c r="AH369" s="88">
        <f t="shared" si="45"/>
        <v>526.9</v>
      </c>
      <c r="AI369" s="88">
        <f t="shared" si="46"/>
        <v>540.1</v>
      </c>
      <c r="AJ369" s="88">
        <f t="shared" si="47"/>
        <v>160.1</v>
      </c>
      <c r="AK369" s="88">
        <f t="shared" si="48"/>
        <v>168.8</v>
      </c>
      <c r="AL369" s="88">
        <f t="shared" si="49"/>
        <v>170.9</v>
      </c>
      <c r="AM369" s="89"/>
    </row>
    <row r="370" spans="1:39" x14ac:dyDescent="0.3">
      <c r="A370" s="84" t="s">
        <v>34</v>
      </c>
      <c r="B370" s="85">
        <v>2023</v>
      </c>
      <c r="C370" s="85" t="s">
        <v>37</v>
      </c>
      <c r="D370" s="85">
        <v>173.8</v>
      </c>
      <c r="E370" s="85">
        <v>209.3</v>
      </c>
      <c r="F370" s="85">
        <v>169.6</v>
      </c>
      <c r="G370" s="85">
        <v>178.4</v>
      </c>
      <c r="H370" s="85">
        <v>174.9</v>
      </c>
      <c r="I370" s="85">
        <v>176.3</v>
      </c>
      <c r="J370" s="85">
        <v>155.4</v>
      </c>
      <c r="K370" s="85">
        <v>173.4</v>
      </c>
      <c r="L370" s="85">
        <v>121.3</v>
      </c>
      <c r="M370" s="85">
        <v>212.9</v>
      </c>
      <c r="N370" s="85">
        <v>172.9</v>
      </c>
      <c r="O370" s="85">
        <v>193.5</v>
      </c>
      <c r="P370" s="85">
        <v>177.9</v>
      </c>
      <c r="Q370" s="85">
        <v>200.6</v>
      </c>
      <c r="R370" s="85">
        <v>186.9</v>
      </c>
      <c r="S370" s="85">
        <v>179.2</v>
      </c>
      <c r="T370" s="85">
        <v>185.7</v>
      </c>
      <c r="U370" s="85">
        <v>175.2</v>
      </c>
      <c r="V370" s="85">
        <v>181.7</v>
      </c>
      <c r="W370" s="85">
        <v>174.6</v>
      </c>
      <c r="X370" s="85">
        <v>185</v>
      </c>
      <c r="Y370" s="85">
        <v>164.5</v>
      </c>
      <c r="Z370" s="85">
        <v>170.7</v>
      </c>
      <c r="AA370" s="85">
        <v>176.4</v>
      </c>
      <c r="AB370" s="85">
        <v>184</v>
      </c>
      <c r="AC370" s="85">
        <v>175</v>
      </c>
      <c r="AD370" s="85">
        <v>178.1</v>
      </c>
      <c r="AE370" s="85">
        <f t="shared" si="42"/>
        <v>2289.6000000000004</v>
      </c>
      <c r="AF370" s="85">
        <f t="shared" si="43"/>
        <v>200.6</v>
      </c>
      <c r="AG370" s="85">
        <f t="shared" si="44"/>
        <v>551.79999999999995</v>
      </c>
      <c r="AH370" s="85">
        <f t="shared" si="45"/>
        <v>531.5</v>
      </c>
      <c r="AI370" s="85">
        <f t="shared" si="46"/>
        <v>545.4</v>
      </c>
      <c r="AJ370" s="85">
        <f t="shared" si="47"/>
        <v>164.5</v>
      </c>
      <c r="AK370" s="85">
        <f t="shared" si="48"/>
        <v>170.7</v>
      </c>
      <c r="AL370" s="85">
        <f t="shared" si="49"/>
        <v>175</v>
      </c>
      <c r="AM370" s="86"/>
    </row>
    <row r="371" spans="1:39" x14ac:dyDescent="0.3">
      <c r="A371" s="87" t="s">
        <v>30</v>
      </c>
      <c r="B371" s="88">
        <v>2023</v>
      </c>
      <c r="C371" s="88" t="s">
        <v>38</v>
      </c>
      <c r="D371" s="88">
        <v>173.2</v>
      </c>
      <c r="E371" s="88">
        <v>211.5</v>
      </c>
      <c r="F371" s="88">
        <v>171</v>
      </c>
      <c r="G371" s="88">
        <v>179.6</v>
      </c>
      <c r="H371" s="88">
        <v>173.3</v>
      </c>
      <c r="I371" s="88">
        <v>169</v>
      </c>
      <c r="J371" s="88">
        <v>148.69999999999999</v>
      </c>
      <c r="K371" s="88">
        <v>174.9</v>
      </c>
      <c r="L371" s="88">
        <v>121.9</v>
      </c>
      <c r="M371" s="88">
        <v>221</v>
      </c>
      <c r="N371" s="88">
        <v>178.7</v>
      </c>
      <c r="O371" s="88">
        <v>191.1</v>
      </c>
      <c r="P371" s="88">
        <v>176.8</v>
      </c>
      <c r="Q371" s="88">
        <v>199.9</v>
      </c>
      <c r="R371" s="88">
        <v>191.2</v>
      </c>
      <c r="S371" s="88">
        <v>187.9</v>
      </c>
      <c r="T371" s="88">
        <v>190.8</v>
      </c>
      <c r="U371" s="88" t="s">
        <v>48</v>
      </c>
      <c r="V371" s="88">
        <v>182.5</v>
      </c>
      <c r="W371" s="88">
        <v>179.8</v>
      </c>
      <c r="X371" s="88">
        <v>187.8</v>
      </c>
      <c r="Y371" s="88">
        <v>169.7</v>
      </c>
      <c r="Z371" s="88">
        <v>173.8</v>
      </c>
      <c r="AA371" s="88">
        <v>180.3</v>
      </c>
      <c r="AB371" s="88">
        <v>184.9</v>
      </c>
      <c r="AC371" s="88">
        <v>179.5</v>
      </c>
      <c r="AD371" s="88">
        <v>179.8</v>
      </c>
      <c r="AE371" s="88">
        <f t="shared" si="42"/>
        <v>2290.7000000000007</v>
      </c>
      <c r="AF371" s="88">
        <f t="shared" si="43"/>
        <v>199.9</v>
      </c>
      <c r="AG371" s="88">
        <f t="shared" si="44"/>
        <v>569.90000000000009</v>
      </c>
      <c r="AH371" s="88">
        <f t="shared" si="45"/>
        <v>362.3</v>
      </c>
      <c r="AI371" s="88">
        <f t="shared" si="46"/>
        <v>553</v>
      </c>
      <c r="AJ371" s="88">
        <f t="shared" si="47"/>
        <v>169.7</v>
      </c>
      <c r="AK371" s="88">
        <f t="shared" si="48"/>
        <v>173.8</v>
      </c>
      <c r="AL371" s="88">
        <f t="shared" si="49"/>
        <v>179.5</v>
      </c>
      <c r="AM371" s="89"/>
    </row>
    <row r="372" spans="1:39" x14ac:dyDescent="0.3">
      <c r="A372" s="84" t="s">
        <v>33</v>
      </c>
      <c r="B372" s="85">
        <v>2023</v>
      </c>
      <c r="C372" s="85" t="s">
        <v>38</v>
      </c>
      <c r="D372" s="85">
        <v>174.7</v>
      </c>
      <c r="E372" s="85">
        <v>219.4</v>
      </c>
      <c r="F372" s="85">
        <v>176.7</v>
      </c>
      <c r="G372" s="85">
        <v>179.4</v>
      </c>
      <c r="H372" s="85">
        <v>164.4</v>
      </c>
      <c r="I372" s="85">
        <v>175.8</v>
      </c>
      <c r="J372" s="85">
        <v>185</v>
      </c>
      <c r="K372" s="85">
        <v>176.9</v>
      </c>
      <c r="L372" s="85">
        <v>124.2</v>
      </c>
      <c r="M372" s="85">
        <v>211.9</v>
      </c>
      <c r="N372" s="85">
        <v>165.9</v>
      </c>
      <c r="O372" s="85">
        <v>197.7</v>
      </c>
      <c r="P372" s="85">
        <v>183.1</v>
      </c>
      <c r="Q372" s="85">
        <v>204.2</v>
      </c>
      <c r="R372" s="85">
        <v>181.3</v>
      </c>
      <c r="S372" s="85">
        <v>168.1</v>
      </c>
      <c r="T372" s="85">
        <v>179.3</v>
      </c>
      <c r="U372" s="85">
        <v>175.6</v>
      </c>
      <c r="V372" s="85">
        <v>183.4</v>
      </c>
      <c r="W372" s="85">
        <v>170.1</v>
      </c>
      <c r="X372" s="85">
        <v>182.2</v>
      </c>
      <c r="Y372" s="85">
        <v>160.4</v>
      </c>
      <c r="Z372" s="85">
        <v>169.2</v>
      </c>
      <c r="AA372" s="85">
        <v>174.8</v>
      </c>
      <c r="AB372" s="85">
        <v>185.6</v>
      </c>
      <c r="AC372" s="85">
        <v>171.6</v>
      </c>
      <c r="AD372" s="85">
        <v>178.2</v>
      </c>
      <c r="AE372" s="85">
        <f t="shared" si="42"/>
        <v>2335.1</v>
      </c>
      <c r="AF372" s="85">
        <f t="shared" si="43"/>
        <v>204.2</v>
      </c>
      <c r="AG372" s="85">
        <f t="shared" si="44"/>
        <v>528.70000000000005</v>
      </c>
      <c r="AH372" s="85">
        <f t="shared" si="45"/>
        <v>529.1</v>
      </c>
      <c r="AI372" s="85">
        <f t="shared" si="46"/>
        <v>542.6</v>
      </c>
      <c r="AJ372" s="85">
        <f t="shared" si="47"/>
        <v>160.4</v>
      </c>
      <c r="AK372" s="85">
        <f t="shared" si="48"/>
        <v>169.2</v>
      </c>
      <c r="AL372" s="85">
        <f t="shared" si="49"/>
        <v>171.6</v>
      </c>
      <c r="AM372" s="86"/>
    </row>
    <row r="373" spans="1:39" x14ac:dyDescent="0.3">
      <c r="A373" s="90" t="s">
        <v>34</v>
      </c>
      <c r="B373" s="91">
        <v>2023</v>
      </c>
      <c r="C373" s="91" t="s">
        <v>38</v>
      </c>
      <c r="D373" s="91">
        <v>173.7</v>
      </c>
      <c r="E373" s="91">
        <v>214.3</v>
      </c>
      <c r="F373" s="91">
        <v>173.2</v>
      </c>
      <c r="G373" s="91">
        <v>179.5</v>
      </c>
      <c r="H373" s="91">
        <v>170</v>
      </c>
      <c r="I373" s="91">
        <v>172.2</v>
      </c>
      <c r="J373" s="91">
        <v>161</v>
      </c>
      <c r="K373" s="91">
        <v>175.6</v>
      </c>
      <c r="L373" s="91">
        <v>122.7</v>
      </c>
      <c r="M373" s="91">
        <v>218</v>
      </c>
      <c r="N373" s="91">
        <v>173.4</v>
      </c>
      <c r="O373" s="91">
        <v>194.2</v>
      </c>
      <c r="P373" s="91">
        <v>179.1</v>
      </c>
      <c r="Q373" s="91">
        <v>201</v>
      </c>
      <c r="R373" s="91">
        <v>187.3</v>
      </c>
      <c r="S373" s="91">
        <v>179.7</v>
      </c>
      <c r="T373" s="91">
        <v>186.2</v>
      </c>
      <c r="U373" s="91">
        <v>175.6</v>
      </c>
      <c r="V373" s="91">
        <v>182.8</v>
      </c>
      <c r="W373" s="91">
        <v>175.2</v>
      </c>
      <c r="X373" s="91">
        <v>185.7</v>
      </c>
      <c r="Y373" s="91">
        <v>164.8</v>
      </c>
      <c r="Z373" s="91">
        <v>171.2</v>
      </c>
      <c r="AA373" s="91">
        <v>177.1</v>
      </c>
      <c r="AB373" s="91">
        <v>185.2</v>
      </c>
      <c r="AC373" s="91">
        <v>175.7</v>
      </c>
      <c r="AD373" s="91">
        <v>179.1</v>
      </c>
      <c r="AE373" s="91">
        <f t="shared" si="42"/>
        <v>2306.9</v>
      </c>
      <c r="AF373" s="91">
        <f t="shared" si="43"/>
        <v>201</v>
      </c>
      <c r="AG373" s="91">
        <f t="shared" si="44"/>
        <v>553.20000000000005</v>
      </c>
      <c r="AH373" s="91">
        <f t="shared" si="45"/>
        <v>533.59999999999991</v>
      </c>
      <c r="AI373" s="91">
        <f t="shared" si="46"/>
        <v>548</v>
      </c>
      <c r="AJ373" s="91">
        <f t="shared" si="47"/>
        <v>164.8</v>
      </c>
      <c r="AK373" s="91">
        <f t="shared" si="48"/>
        <v>171.2</v>
      </c>
      <c r="AL373" s="91">
        <f t="shared" si="49"/>
        <v>175.7</v>
      </c>
      <c r="AM373" s="92"/>
    </row>
  </sheetData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7013-1D92-40AC-92FD-A544DF0E7B51}">
  <sheetPr>
    <tabColor rgb="FF92D050"/>
  </sheetPr>
  <dimension ref="A1:BH34"/>
  <sheetViews>
    <sheetView showGridLines="0" zoomScale="98" zoomScaleNormal="98" workbookViewId="0">
      <selection activeCell="B6" sqref="B6"/>
    </sheetView>
  </sheetViews>
  <sheetFormatPr defaultRowHeight="14.4" x14ac:dyDescent="0.3"/>
  <cols>
    <col min="1" max="1" width="32.44140625" bestFit="1" customWidth="1"/>
    <col min="2" max="2" width="13.44140625" customWidth="1"/>
    <col min="3" max="3" width="14" bestFit="1" customWidth="1"/>
  </cols>
  <sheetData>
    <row r="1" spans="1:60" x14ac:dyDescent="0.3">
      <c r="A1" s="93" t="s">
        <v>106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60" x14ac:dyDescent="0.3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</row>
    <row r="3" spans="1:60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</row>
    <row r="6" spans="1:60" x14ac:dyDescent="0.3">
      <c r="A6" s="2" t="s">
        <v>57</v>
      </c>
      <c r="B6" s="3" t="s">
        <v>62</v>
      </c>
    </row>
    <row r="7" spans="1:60" x14ac:dyDescent="0.3">
      <c r="A7" s="2" t="s">
        <v>58</v>
      </c>
      <c r="B7" s="9">
        <v>2022</v>
      </c>
      <c r="BE7" t="s">
        <v>60</v>
      </c>
      <c r="BG7">
        <v>2013</v>
      </c>
      <c r="BH7" t="s">
        <v>63</v>
      </c>
    </row>
    <row r="8" spans="1:60" x14ac:dyDescent="0.3">
      <c r="A8" s="2" t="s">
        <v>59</v>
      </c>
      <c r="B8" s="8" t="s">
        <v>72</v>
      </c>
      <c r="L8" t="s">
        <v>60</v>
      </c>
      <c r="N8">
        <v>2013</v>
      </c>
      <c r="O8" t="s">
        <v>63</v>
      </c>
      <c r="BE8" t="s">
        <v>61</v>
      </c>
      <c r="BG8">
        <v>2014</v>
      </c>
      <c r="BH8" t="s">
        <v>64</v>
      </c>
    </row>
    <row r="9" spans="1:60" x14ac:dyDescent="0.3">
      <c r="L9" t="s">
        <v>61</v>
      </c>
      <c r="N9">
        <v>2014</v>
      </c>
      <c r="O9" t="s">
        <v>64</v>
      </c>
      <c r="BE9" t="s">
        <v>62</v>
      </c>
      <c r="BG9">
        <v>2015</v>
      </c>
      <c r="BH9" t="s">
        <v>65</v>
      </c>
    </row>
    <row r="10" spans="1:60" x14ac:dyDescent="0.3">
      <c r="L10" t="s">
        <v>62</v>
      </c>
      <c r="N10">
        <v>2015</v>
      </c>
      <c r="O10" t="s">
        <v>65</v>
      </c>
      <c r="BG10">
        <v>2016</v>
      </c>
      <c r="BH10" t="s">
        <v>66</v>
      </c>
    </row>
    <row r="11" spans="1:60" x14ac:dyDescent="0.3">
      <c r="A11" s="4" t="s">
        <v>75</v>
      </c>
      <c r="B11" s="4" t="s">
        <v>76</v>
      </c>
      <c r="C11" s="4" t="s">
        <v>77</v>
      </c>
      <c r="N11">
        <v>2016</v>
      </c>
      <c r="O11" t="s">
        <v>66</v>
      </c>
      <c r="BG11">
        <v>2017</v>
      </c>
      <c r="BH11" t="s">
        <v>67</v>
      </c>
    </row>
    <row r="12" spans="1:60" x14ac:dyDescent="0.3">
      <c r="A12" s="7" t="s">
        <v>49</v>
      </c>
      <c r="B12" s="5" cm="1">
        <f t="array" ref="B12">INDEX(EXP!AE:AL,MATCH(1,(EXP!A:A=$B$6)*(EXP!B:B=$B$7)*(EXP!C:C=$B$8),0),MATCH($A12,EXP!AE$1:AL$1,0))</f>
        <v>2297.3000000000002</v>
      </c>
      <c r="C12" s="6">
        <f>B12/$B$20</f>
        <v>0.50162674410987629</v>
      </c>
      <c r="N12">
        <v>2017</v>
      </c>
      <c r="O12" t="s">
        <v>67</v>
      </c>
      <c r="BG12">
        <v>2018</v>
      </c>
      <c r="BH12" t="s">
        <v>68</v>
      </c>
    </row>
    <row r="13" spans="1:60" x14ac:dyDescent="0.3">
      <c r="A13" s="7" t="s">
        <v>50</v>
      </c>
      <c r="B13" s="5" cm="1">
        <f t="array" ref="B13">INDEX(EXP!AE:AL,MATCH(1,(EXP!A:A=$B$6)*(EXP!B:B=$B$7)*(EXP!C:C=$B$8),0),MATCH($A13,EXP!AE$1:AL$1,0))</f>
        <v>196.3</v>
      </c>
      <c r="C13" s="6">
        <f t="shared" ref="C13:C19" si="0">B13/$B$20</f>
        <v>4.28630696333821E-2</v>
      </c>
      <c r="N13">
        <v>2018</v>
      </c>
      <c r="O13" t="s">
        <v>68</v>
      </c>
      <c r="BG13">
        <v>2019</v>
      </c>
      <c r="BH13" t="s">
        <v>69</v>
      </c>
    </row>
    <row r="14" spans="1:60" x14ac:dyDescent="0.3">
      <c r="A14" s="7" t="s">
        <v>51</v>
      </c>
      <c r="B14" s="5">
        <f t="array" ref="B14">INDEX(EXP!AE:AL,MATCH(1,(EXP!A:A=$B$6)*(EXP!B:B=$B$7)*(EXP!C:C=$B$8),0),MATCH($A14,EXP!AE$1:AL$1,0))</f>
        <v>538.20000000000005</v>
      </c>
      <c r="C14" s="6">
        <f t="shared" si="0"/>
        <v>0.11751861475642511</v>
      </c>
      <c r="N14">
        <v>2019</v>
      </c>
      <c r="O14" t="s">
        <v>69</v>
      </c>
      <c r="BG14">
        <v>2020</v>
      </c>
      <c r="BH14" t="s">
        <v>70</v>
      </c>
    </row>
    <row r="15" spans="1:60" x14ac:dyDescent="0.3">
      <c r="A15" s="7" t="s">
        <v>52</v>
      </c>
      <c r="B15" s="5" cm="1">
        <f t="array" ref="B15">INDEX(EXP!AE:AL,MATCH(1,(EXP!A:A=$B$6)*(EXP!B:B=$B$7)*(EXP!C:C=$B$8),0),MATCH($A15,EXP!AE$1:AL$1,0))</f>
        <v>522.1</v>
      </c>
      <c r="C15" s="6">
        <f t="shared" si="0"/>
        <v>0.11400310063977991</v>
      </c>
      <c r="N15">
        <v>2020</v>
      </c>
      <c r="O15" t="s">
        <v>70</v>
      </c>
      <c r="BG15">
        <v>2021</v>
      </c>
      <c r="BH15" t="s">
        <v>71</v>
      </c>
    </row>
    <row r="16" spans="1:60" x14ac:dyDescent="0.3">
      <c r="A16" s="7" t="s">
        <v>53</v>
      </c>
      <c r="B16" s="5" cm="1">
        <f t="array" ref="B16">INDEX(EXP!AE:AL,MATCH(1,(EXP!A:A=$B$6)*(EXP!B:B=$B$7)*(EXP!C:C=$B$8),0),MATCH($A16,EXP!AE$1:AL$1,0))</f>
        <v>524.20000000000005</v>
      </c>
      <c r="C16" s="6">
        <f t="shared" si="0"/>
        <v>0.11446164595934233</v>
      </c>
      <c r="N16">
        <v>2021</v>
      </c>
      <c r="O16" t="s">
        <v>71</v>
      </c>
      <c r="BG16">
        <v>2022</v>
      </c>
      <c r="BH16" t="s">
        <v>72</v>
      </c>
    </row>
    <row r="17" spans="1:60" x14ac:dyDescent="0.3">
      <c r="A17" s="7" t="s">
        <v>54</v>
      </c>
      <c r="B17" s="5" cm="1">
        <f t="array" ref="B17">INDEX(EXP!AE:AL,MATCH(1,(EXP!A:A=$B$6)*(EXP!B:B=$B$7)*(EXP!C:C=$B$8),0),MATCH($A17,EXP!AE$1:AL$1,0))</f>
        <v>162.9</v>
      </c>
      <c r="C17" s="6">
        <f t="shared" si="0"/>
        <v>3.5570015503198903E-2</v>
      </c>
      <c r="N17">
        <v>2022</v>
      </c>
      <c r="O17" t="s">
        <v>72</v>
      </c>
      <c r="BG17">
        <v>2023</v>
      </c>
      <c r="BH17" t="s">
        <v>73</v>
      </c>
    </row>
    <row r="18" spans="1:60" x14ac:dyDescent="0.3">
      <c r="A18" s="7" t="s">
        <v>55</v>
      </c>
      <c r="B18" s="5" cm="1">
        <f t="array" ref="B18">INDEX(EXP!AE:AL,MATCH(1,(EXP!A:A=$B$6)*(EXP!B:B=$B$7)*(EXP!C:C=$B$8),0),MATCH($A18,EXP!AE$1:AL$1,0))</f>
        <v>168.2</v>
      </c>
      <c r="C18" s="6">
        <f t="shared" si="0"/>
        <v>3.6727296547808805E-2</v>
      </c>
      <c r="N18">
        <v>2023</v>
      </c>
      <c r="O18" t="s">
        <v>73</v>
      </c>
      <c r="BH18" t="s">
        <v>74</v>
      </c>
    </row>
    <row r="19" spans="1:60" x14ac:dyDescent="0.3">
      <c r="A19" s="7" t="s">
        <v>56</v>
      </c>
      <c r="B19" s="5" cm="1">
        <f t="array" ref="B19">INDEX(EXP!AE:AL,MATCH(1,(EXP!A:A=$B$6)*(EXP!B:B=$B$7)*(EXP!C:C=$B$8),0),MATCH($A19,EXP!AE$1:AL$1,0))</f>
        <v>170.5</v>
      </c>
      <c r="C19" s="6">
        <f t="shared" si="0"/>
        <v>3.7229512850186698E-2</v>
      </c>
      <c r="O19" t="s">
        <v>74</v>
      </c>
    </row>
    <row r="20" spans="1:60" x14ac:dyDescent="0.3">
      <c r="A20" s="9" t="s">
        <v>78</v>
      </c>
      <c r="B20" s="9">
        <f>SUM(B12:B19)</f>
        <v>4579.7</v>
      </c>
    </row>
    <row r="34" spans="1:1" s="58" customFormat="1" ht="18" x14ac:dyDescent="0.35">
      <c r="A34" s="59" t="s">
        <v>94</v>
      </c>
    </row>
  </sheetData>
  <mergeCells count="1">
    <mergeCell ref="A1:P3"/>
  </mergeCells>
  <phoneticPr fontId="18" type="noConversion"/>
  <dataValidations count="3">
    <dataValidation type="list" allowBlank="1" showInputMessage="1" showErrorMessage="1" sqref="B6" xr:uid="{F9E697A5-B767-4515-878B-D60F49DCBE28}">
      <formula1>$L$8:$L$10</formula1>
    </dataValidation>
    <dataValidation type="list" allowBlank="1" showInputMessage="1" showErrorMessage="1" sqref="B7" xr:uid="{2DE0C67C-F496-4368-9C39-60E086BE9C88}">
      <formula1>$N$8:$N$18</formula1>
    </dataValidation>
    <dataValidation type="list" allowBlank="1" showInputMessage="1" showErrorMessage="1" sqref="B8" xr:uid="{87CFB64F-4CB6-42CC-95CA-DF429400D38E}">
      <formula1>$O$8:$O$19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2999-D590-49D4-845C-6ED67AFEAE75}">
  <sheetPr>
    <tabColor rgb="FF92D050"/>
  </sheetPr>
  <dimension ref="A1:T31"/>
  <sheetViews>
    <sheetView showGridLines="0" topLeftCell="B1" workbookViewId="0">
      <selection activeCell="B11" sqref="B11"/>
    </sheetView>
  </sheetViews>
  <sheetFormatPr defaultRowHeight="14.4" x14ac:dyDescent="0.3"/>
  <cols>
    <col min="1" max="1" width="12.77734375" bestFit="1" customWidth="1"/>
    <col min="2" max="2" width="19.33203125" bestFit="1" customWidth="1"/>
    <col min="3" max="3" width="10.88671875" customWidth="1"/>
    <col min="4" max="4" width="13.5546875" bestFit="1" customWidth="1"/>
    <col min="5" max="5" width="13.44140625" bestFit="1" customWidth="1"/>
  </cols>
  <sheetData>
    <row r="1" spans="1:20" x14ac:dyDescent="0.3">
      <c r="A1" s="94" t="s">
        <v>107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spans="1:20" x14ac:dyDescent="0.3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</row>
    <row r="3" spans="1:20" x14ac:dyDescent="0.3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</row>
    <row r="5" spans="1:20" x14ac:dyDescent="0.3">
      <c r="A5" s="10" t="s">
        <v>0</v>
      </c>
      <c r="B5" s="11" t="s">
        <v>1</v>
      </c>
      <c r="C5" s="12" t="s">
        <v>2</v>
      </c>
      <c r="D5" s="12" t="s">
        <v>79</v>
      </c>
      <c r="E5" s="13" t="s">
        <v>80</v>
      </c>
    </row>
    <row r="6" spans="1:20" x14ac:dyDescent="0.3">
      <c r="A6" s="19" t="s">
        <v>34</v>
      </c>
      <c r="B6" s="19">
        <v>2017</v>
      </c>
      <c r="C6" s="19" t="s">
        <v>31</v>
      </c>
      <c r="D6" s="20" cm="1">
        <f t="array" ref="D6">INDEX(EXP!AD:AD,MATCH(1,(EXP!A:A=$A6)*(EXP!B:B=$B6)*(EXP!C:C=$C6),0))</f>
        <v>130.30000000000001</v>
      </c>
      <c r="E6" s="96">
        <f>(D7-D6)/D6</f>
        <v>5.295471987720627E-2</v>
      </c>
    </row>
    <row r="7" spans="1:20" x14ac:dyDescent="0.3">
      <c r="A7" s="19" t="s">
        <v>34</v>
      </c>
      <c r="B7" s="19">
        <v>2017</v>
      </c>
      <c r="C7" s="19" t="s">
        <v>46</v>
      </c>
      <c r="D7" s="20" cm="1">
        <f t="array" ref="D7">INDEX(EXP!AD:AD,MATCH(1,(EXP!A:A=$A7)*(EXP!B:B=$B7)*(EXP!C:C=$C7),0))</f>
        <v>137.19999999999999</v>
      </c>
      <c r="E7" s="96"/>
    </row>
    <row r="8" spans="1:20" x14ac:dyDescent="0.3">
      <c r="A8" s="19" t="s">
        <v>34</v>
      </c>
      <c r="B8" s="19">
        <v>2018</v>
      </c>
      <c r="C8" s="19" t="s">
        <v>31</v>
      </c>
      <c r="D8" s="20" cm="1">
        <f t="array" ref="D8">INDEX(EXP!AD:AD,MATCH(1,(EXP!A:A=$A8)*(EXP!B:B=$B8)*(EXP!C:C=$C8),0))</f>
        <v>136.9</v>
      </c>
      <c r="E8" s="96">
        <f t="shared" ref="E8" si="0">(D9-D8)/D8</f>
        <v>2.3374726077428697E-2</v>
      </c>
    </row>
    <row r="9" spans="1:20" x14ac:dyDescent="0.3">
      <c r="A9" s="19" t="s">
        <v>34</v>
      </c>
      <c r="B9" s="19">
        <v>2018</v>
      </c>
      <c r="C9" s="19" t="s">
        <v>46</v>
      </c>
      <c r="D9" s="20" cm="1">
        <f t="array" ref="D9">INDEX(EXP!AD:AD,MATCH(1,(EXP!A:A=$A9)*(EXP!B:B=$B9)*(EXP!C:C=$C9),0))</f>
        <v>140.1</v>
      </c>
      <c r="E9" s="96"/>
    </row>
    <row r="10" spans="1:20" x14ac:dyDescent="0.3">
      <c r="A10" s="14" t="s">
        <v>34</v>
      </c>
      <c r="B10" s="14">
        <v>2019</v>
      </c>
      <c r="C10" s="14" t="s">
        <v>31</v>
      </c>
      <c r="D10" s="15" cm="1">
        <f t="array" ref="D10">INDEX(EXP!AD:AD,MATCH(1,(EXP!A:A=$A10)*(EXP!B:B=$B10)*(EXP!C:C=$C10),0))</f>
        <v>139.6</v>
      </c>
      <c r="E10" s="97">
        <f t="shared" ref="E10" si="1">(D11-D10)/D10</f>
        <v>7.7363896848137617E-2</v>
      </c>
    </row>
    <row r="11" spans="1:20" x14ac:dyDescent="0.3">
      <c r="A11" s="14" t="s">
        <v>34</v>
      </c>
      <c r="B11" s="14">
        <v>2019</v>
      </c>
      <c r="C11" s="14" t="s">
        <v>46</v>
      </c>
      <c r="D11" s="15" cm="1">
        <f t="array" ref="D11">INDEX(EXP!AD:AD,MATCH(1,(EXP!A:A=$A11)*(EXP!B:B=$B11)*(EXP!C:C=$C11),0))</f>
        <v>150.4</v>
      </c>
      <c r="E11" s="97"/>
    </row>
    <row r="12" spans="1:20" x14ac:dyDescent="0.3">
      <c r="A12" s="19" t="s">
        <v>34</v>
      </c>
      <c r="B12" s="19">
        <v>2020</v>
      </c>
      <c r="C12" s="19" t="s">
        <v>31</v>
      </c>
      <c r="D12" s="20" cm="1">
        <f t="array" ref="D12">INDEX(EXP!AD:AD,MATCH(1,(EXP!A:A=$A12)*(EXP!B:B=$B12)*(EXP!C:C=$C12),0))</f>
        <v>150.19999999999999</v>
      </c>
      <c r="E12" s="96">
        <f t="shared" ref="E12" si="2">(D13-D12)/D12</f>
        <v>5.7922769640479481E-2</v>
      </c>
    </row>
    <row r="13" spans="1:20" x14ac:dyDescent="0.3">
      <c r="A13" s="19" t="s">
        <v>34</v>
      </c>
      <c r="B13" s="19">
        <v>2020</v>
      </c>
      <c r="C13" s="19" t="s">
        <v>46</v>
      </c>
      <c r="D13" s="20" cm="1">
        <f t="array" ref="D13">INDEX(EXP!AD:AD,MATCH(1,(EXP!A:A=$A13)*(EXP!B:B=$B13)*(EXP!C:C=$C13),0))</f>
        <v>158.9</v>
      </c>
      <c r="E13" s="96"/>
    </row>
    <row r="14" spans="1:20" x14ac:dyDescent="0.3">
      <c r="A14" s="19" t="s">
        <v>34</v>
      </c>
      <c r="B14" s="19">
        <v>2021</v>
      </c>
      <c r="C14" s="19" t="s">
        <v>31</v>
      </c>
      <c r="D14" s="20" cm="1">
        <f t="array" ref="D14">INDEX(EXP!AD:AD,MATCH(1,(EXP!A:A=$A14)*(EXP!B:B=$B14)*(EXP!C:C=$C14),0))</f>
        <v>157.30000000000001</v>
      </c>
      <c r="E14" s="96">
        <f t="shared" ref="E14" si="3">(D15-D14)/D14</f>
        <v>5.657978385251098E-2</v>
      </c>
    </row>
    <row r="15" spans="1:20" x14ac:dyDescent="0.3">
      <c r="A15" s="19" t="s">
        <v>34</v>
      </c>
      <c r="B15" s="19">
        <v>2021</v>
      </c>
      <c r="C15" s="19" t="s">
        <v>46</v>
      </c>
      <c r="D15" s="20" cm="1">
        <f t="array" ref="D15">INDEX(EXP!AD:AD,MATCH(1,(EXP!A:A=$A15)*(EXP!B:B=$B15)*(EXP!C:C=$C15),0))</f>
        <v>166.2</v>
      </c>
      <c r="E15" s="96"/>
    </row>
    <row r="16" spans="1:20" x14ac:dyDescent="0.3">
      <c r="A16" s="19" t="s">
        <v>34</v>
      </c>
      <c r="B16" s="19">
        <v>2022</v>
      </c>
      <c r="C16" s="19" t="s">
        <v>31</v>
      </c>
      <c r="D16" s="20" cm="1">
        <f t="array" ref="D16">INDEX(EXP!AD:AD,MATCH(1,(EXP!A:A=$A16)*(EXP!B:B=$B16)*(EXP!C:C=$C16),0))</f>
        <v>165.7</v>
      </c>
      <c r="E16" s="96">
        <f t="shared" ref="E16" si="4">(D17-D16)/D16</f>
        <v>6.0350030175015092E-2</v>
      </c>
    </row>
    <row r="17" spans="1:5" x14ac:dyDescent="0.3">
      <c r="A17" s="19" t="s">
        <v>34</v>
      </c>
      <c r="B17" s="19">
        <v>2022</v>
      </c>
      <c r="C17" s="19" t="s">
        <v>46</v>
      </c>
      <c r="D17" s="20" cm="1">
        <f t="array" ref="D17">INDEX(EXP!AD:AD,MATCH(1,(EXP!A:A=$A17)*(EXP!B:B=$B17)*(EXP!C:C=$C17),0))</f>
        <v>175.7</v>
      </c>
      <c r="E17" s="96"/>
    </row>
    <row r="18" spans="1:5" x14ac:dyDescent="0.3">
      <c r="A18" s="19" t="s">
        <v>34</v>
      </c>
      <c r="B18" s="19">
        <v>2023</v>
      </c>
      <c r="C18" s="19" t="s">
        <v>31</v>
      </c>
      <c r="D18" s="20" cm="1">
        <f t="array" ref="D18">INDEX(EXP!AD:AD,MATCH(1,(EXP!A:A=$A18)*(EXP!B:B=$B18)*(EXP!C:C=$C18),0))</f>
        <v>176.5</v>
      </c>
      <c r="E18" s="96">
        <f t="shared" ref="E18" si="5">(D19-D18)/D18</f>
        <v>1.4730878186968806E-2</v>
      </c>
    </row>
    <row r="19" spans="1:5" x14ac:dyDescent="0.3">
      <c r="A19" s="19" t="s">
        <v>34</v>
      </c>
      <c r="B19" s="19">
        <v>2023</v>
      </c>
      <c r="C19" s="19" t="s">
        <v>38</v>
      </c>
      <c r="D19" s="20" cm="1">
        <f t="array" ref="D19">INDEX(EXP!AD:AD,MATCH(1,(EXP!A:A=$A19)*(EXP!B:B=$B19)*(EXP!C:C=$C19),0))</f>
        <v>179.1</v>
      </c>
      <c r="E19" s="96"/>
    </row>
    <row r="21" spans="1:5" x14ac:dyDescent="0.3">
      <c r="A21" s="24" t="s">
        <v>83</v>
      </c>
      <c r="B21" t="s">
        <v>85</v>
      </c>
    </row>
    <row r="22" spans="1:5" x14ac:dyDescent="0.3">
      <c r="A22" s="25">
        <v>2017</v>
      </c>
      <c r="B22" s="26">
        <v>5.295471987720627E-2</v>
      </c>
    </row>
    <row r="23" spans="1:5" x14ac:dyDescent="0.3">
      <c r="A23" s="25">
        <v>2018</v>
      </c>
      <c r="B23" s="26">
        <v>2.3374726077428697E-2</v>
      </c>
    </row>
    <row r="24" spans="1:5" x14ac:dyDescent="0.3">
      <c r="A24" s="25">
        <v>2019</v>
      </c>
      <c r="B24" s="26">
        <v>7.7363896848137617E-2</v>
      </c>
    </row>
    <row r="25" spans="1:5" x14ac:dyDescent="0.3">
      <c r="A25" s="25">
        <v>2020</v>
      </c>
      <c r="B25" s="26">
        <v>5.7922769640479481E-2</v>
      </c>
    </row>
    <row r="26" spans="1:5" x14ac:dyDescent="0.3">
      <c r="A26" s="25">
        <v>2021</v>
      </c>
      <c r="B26" s="26">
        <v>5.657978385251098E-2</v>
      </c>
    </row>
    <row r="27" spans="1:5" x14ac:dyDescent="0.3">
      <c r="A27" s="25">
        <v>2022</v>
      </c>
      <c r="B27" s="26">
        <v>6.0350030175015092E-2</v>
      </c>
    </row>
    <row r="28" spans="1:5" x14ac:dyDescent="0.3">
      <c r="A28" s="25">
        <v>2023</v>
      </c>
      <c r="B28" s="26">
        <v>1.4730878186968806E-2</v>
      </c>
    </row>
    <row r="29" spans="1:5" x14ac:dyDescent="0.3">
      <c r="A29" s="25" t="s">
        <v>84</v>
      </c>
      <c r="B29" s="26">
        <v>0.34327680465774701</v>
      </c>
    </row>
    <row r="31" spans="1:5" ht="21" x14ac:dyDescent="0.4">
      <c r="A31" s="60" t="s">
        <v>95</v>
      </c>
    </row>
  </sheetData>
  <mergeCells count="8">
    <mergeCell ref="A1:T3"/>
    <mergeCell ref="E16:E17"/>
    <mergeCell ref="E18:E19"/>
    <mergeCell ref="E6:E7"/>
    <mergeCell ref="E8:E9"/>
    <mergeCell ref="E10:E11"/>
    <mergeCell ref="E12:E13"/>
    <mergeCell ref="E14:E15"/>
  </mergeCell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9148-2164-43F1-A13F-19A0BD3177AB}">
  <sheetPr>
    <tabColor rgb="FF92D050"/>
  </sheetPr>
  <dimension ref="A1:AB19"/>
  <sheetViews>
    <sheetView showGridLines="0" workbookViewId="0">
      <selection activeCell="E17" sqref="E17"/>
    </sheetView>
  </sheetViews>
  <sheetFormatPr defaultRowHeight="14.4" x14ac:dyDescent="0.3"/>
  <cols>
    <col min="1" max="1" width="5" bestFit="1" customWidth="1"/>
    <col min="2" max="2" width="10.5546875" bestFit="1" customWidth="1"/>
    <col min="3" max="3" width="19.109375" bestFit="1" customWidth="1"/>
    <col min="4" max="4" width="12.77734375" bestFit="1" customWidth="1"/>
    <col min="5" max="5" width="6" bestFit="1" customWidth="1"/>
    <col min="6" max="6" width="16.33203125" bestFit="1" customWidth="1"/>
    <col min="7" max="7" width="11.5546875" bestFit="1" customWidth="1"/>
    <col min="8" max="8" width="6" bestFit="1" customWidth="1"/>
    <col min="9" max="9" width="10.6640625" bestFit="1" customWidth="1"/>
    <col min="10" max="10" width="18.33203125" bestFit="1" customWidth="1"/>
    <col min="11" max="11" width="22.33203125" bestFit="1" customWidth="1"/>
    <col min="12" max="12" width="6.33203125" bestFit="1" customWidth="1"/>
    <col min="13" max="13" width="22.6640625" bestFit="1" customWidth="1"/>
    <col min="14" max="14" width="32.33203125" bestFit="1" customWidth="1"/>
    <col min="15" max="15" width="18.44140625" bestFit="1" customWidth="1"/>
    <col min="16" max="16" width="25.77734375" bestFit="1" customWidth="1"/>
    <col min="17" max="17" width="8.21875" bestFit="1" customWidth="1"/>
    <col min="18" max="18" width="9.109375" bestFit="1" customWidth="1"/>
    <col min="19" max="19" width="20.44140625" bestFit="1" customWidth="1"/>
    <col min="20" max="20" width="7.88671875" bestFit="1" customWidth="1"/>
    <col min="21" max="21" width="12.77734375" bestFit="1" customWidth="1"/>
    <col min="22" max="22" width="27.33203125" bestFit="1" customWidth="1"/>
    <col min="23" max="23" width="6.6640625" bestFit="1" customWidth="1"/>
    <col min="24" max="24" width="27.109375" bestFit="1" customWidth="1"/>
    <col min="25" max="25" width="25.109375" bestFit="1" customWidth="1"/>
    <col min="26" max="26" width="9.44140625" bestFit="1" customWidth="1"/>
    <col min="27" max="27" width="22.88671875" bestFit="1" customWidth="1"/>
    <col min="28" max="28" width="13.44140625" bestFit="1" customWidth="1"/>
  </cols>
  <sheetData>
    <row r="1" spans="1:28" x14ac:dyDescent="0.3">
      <c r="A1" s="93" t="s">
        <v>100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28" x14ac:dyDescent="0.3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28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</row>
    <row r="5" spans="1:28" x14ac:dyDescent="0.3">
      <c r="A5" s="16" t="s">
        <v>1</v>
      </c>
      <c r="B5" s="16" t="s">
        <v>2</v>
      </c>
      <c r="C5" s="16" t="s">
        <v>3</v>
      </c>
      <c r="D5" s="16" t="s">
        <v>4</v>
      </c>
      <c r="E5" s="16" t="s">
        <v>5</v>
      </c>
      <c r="F5" s="16" t="s">
        <v>6</v>
      </c>
      <c r="G5" s="16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16" t="s">
        <v>12</v>
      </c>
      <c r="M5" s="16" t="s">
        <v>13</v>
      </c>
      <c r="N5" s="16" t="s">
        <v>14</v>
      </c>
      <c r="O5" s="16" t="s">
        <v>15</v>
      </c>
      <c r="P5" s="16" t="s">
        <v>16</v>
      </c>
      <c r="Q5" s="16" t="s">
        <v>17</v>
      </c>
      <c r="R5" s="16" t="s">
        <v>18</v>
      </c>
      <c r="S5" s="16" t="s">
        <v>19</v>
      </c>
      <c r="T5" s="16" t="s">
        <v>20</v>
      </c>
      <c r="U5" s="16" t="s">
        <v>21</v>
      </c>
      <c r="V5" s="16" t="s">
        <v>22</v>
      </c>
      <c r="W5" s="16" t="s">
        <v>23</v>
      </c>
      <c r="X5" s="16" t="s">
        <v>24</v>
      </c>
      <c r="Y5" s="16" t="s">
        <v>25</v>
      </c>
      <c r="Z5" s="16" t="s">
        <v>26</v>
      </c>
      <c r="AA5" s="16" t="s">
        <v>27</v>
      </c>
      <c r="AB5" s="16" t="s">
        <v>28</v>
      </c>
    </row>
    <row r="6" spans="1:28" x14ac:dyDescent="0.3">
      <c r="A6" s="17">
        <v>2019</v>
      </c>
      <c r="B6" s="17" t="s">
        <v>31</v>
      </c>
      <c r="C6" s="17">
        <v>137.1</v>
      </c>
      <c r="D6" s="17">
        <v>151.4</v>
      </c>
      <c r="E6" s="17">
        <v>140.19999999999999</v>
      </c>
      <c r="F6" s="17">
        <v>142.1</v>
      </c>
      <c r="G6" s="17">
        <v>121.8</v>
      </c>
      <c r="H6" s="17">
        <v>135.4</v>
      </c>
      <c r="I6" s="17">
        <v>131.30000000000001</v>
      </c>
      <c r="J6" s="17">
        <v>120.3</v>
      </c>
      <c r="K6" s="17">
        <v>109.1</v>
      </c>
      <c r="L6" s="17">
        <v>139.4</v>
      </c>
      <c r="M6" s="17">
        <v>133.30000000000001</v>
      </c>
      <c r="N6" s="17">
        <v>154.6</v>
      </c>
      <c r="O6" s="17">
        <v>137.4</v>
      </c>
      <c r="P6" s="17">
        <v>163.19999999999999</v>
      </c>
      <c r="Q6" s="17">
        <v>147.6</v>
      </c>
      <c r="R6" s="17">
        <v>139</v>
      </c>
      <c r="S6" s="17">
        <v>146.4</v>
      </c>
      <c r="T6" s="17">
        <v>147.69999999999999</v>
      </c>
      <c r="U6" s="17">
        <v>139.5</v>
      </c>
      <c r="V6" s="17">
        <v>143.6</v>
      </c>
      <c r="W6" s="17">
        <v>145.1</v>
      </c>
      <c r="X6" s="17">
        <v>123.3</v>
      </c>
      <c r="Y6" s="17">
        <v>136.69999999999999</v>
      </c>
      <c r="Z6" s="17">
        <v>150.19999999999999</v>
      </c>
      <c r="AA6" s="17">
        <v>132.80000000000001</v>
      </c>
      <c r="AB6" s="17">
        <v>136.9</v>
      </c>
    </row>
    <row r="7" spans="1:28" x14ac:dyDescent="0.3">
      <c r="A7" s="17">
        <v>2019</v>
      </c>
      <c r="B7" s="17" t="s">
        <v>35</v>
      </c>
      <c r="C7" s="17">
        <v>137.6</v>
      </c>
      <c r="D7" s="17">
        <v>152</v>
      </c>
      <c r="E7" s="17">
        <v>141.5</v>
      </c>
      <c r="F7" s="17">
        <v>142.19999999999999</v>
      </c>
      <c r="G7" s="17">
        <v>122</v>
      </c>
      <c r="H7" s="17">
        <v>136.4</v>
      </c>
      <c r="I7" s="17">
        <v>129.69999999999999</v>
      </c>
      <c r="J7" s="17">
        <v>121</v>
      </c>
      <c r="K7" s="17">
        <v>109</v>
      </c>
      <c r="L7" s="17">
        <v>139.69999999999999</v>
      </c>
      <c r="M7" s="17">
        <v>133.6</v>
      </c>
      <c r="N7" s="17">
        <v>154.9</v>
      </c>
      <c r="O7" s="17">
        <v>137.5</v>
      </c>
      <c r="P7" s="17">
        <v>163.4</v>
      </c>
      <c r="Q7" s="17">
        <v>147.69999999999999</v>
      </c>
      <c r="R7" s="17">
        <v>139.69999999999999</v>
      </c>
      <c r="S7" s="17">
        <v>146.5</v>
      </c>
      <c r="T7" s="17">
        <v>148.5</v>
      </c>
      <c r="U7" s="17">
        <v>138.4</v>
      </c>
      <c r="V7" s="17">
        <v>143.69999999999999</v>
      </c>
      <c r="W7" s="17">
        <v>145.6</v>
      </c>
      <c r="X7" s="17">
        <v>123.9</v>
      </c>
      <c r="Y7" s="17">
        <v>137.1</v>
      </c>
      <c r="Z7" s="17">
        <v>150.30000000000001</v>
      </c>
      <c r="AA7" s="17">
        <v>134.1</v>
      </c>
      <c r="AB7" s="17">
        <v>137.4</v>
      </c>
    </row>
    <row r="8" spans="1:28" x14ac:dyDescent="0.3">
      <c r="A8" s="17">
        <v>2019</v>
      </c>
      <c r="B8" s="17" t="s">
        <v>36</v>
      </c>
      <c r="C8" s="17">
        <v>137.80000000000001</v>
      </c>
      <c r="D8" s="17">
        <v>153</v>
      </c>
      <c r="E8" s="17">
        <v>140.30000000000001</v>
      </c>
      <c r="F8" s="17">
        <v>142.30000000000001</v>
      </c>
      <c r="G8" s="17">
        <v>122</v>
      </c>
      <c r="H8" s="17">
        <v>137.6</v>
      </c>
      <c r="I8" s="17">
        <v>132.6</v>
      </c>
      <c r="J8" s="17">
        <v>121.8</v>
      </c>
      <c r="K8" s="17">
        <v>109</v>
      </c>
      <c r="L8" s="17">
        <v>139.5</v>
      </c>
      <c r="M8" s="17">
        <v>133.69999999999999</v>
      </c>
      <c r="N8" s="17">
        <v>155.19999999999999</v>
      </c>
      <c r="O8" s="17">
        <v>138.1</v>
      </c>
      <c r="P8" s="17">
        <v>163.5</v>
      </c>
      <c r="Q8" s="17">
        <v>147.9</v>
      </c>
      <c r="R8" s="17">
        <v>139.9</v>
      </c>
      <c r="S8" s="17">
        <v>146.69999999999999</v>
      </c>
      <c r="T8" s="17">
        <v>149</v>
      </c>
      <c r="U8" s="17">
        <v>139.69999999999999</v>
      </c>
      <c r="V8" s="17">
        <v>143.80000000000001</v>
      </c>
      <c r="W8" s="17">
        <v>146.19999999999999</v>
      </c>
      <c r="X8" s="17">
        <v>124.6</v>
      </c>
      <c r="Y8" s="17">
        <v>137.69999999999999</v>
      </c>
      <c r="Z8" s="17">
        <v>150.30000000000001</v>
      </c>
      <c r="AA8" s="17">
        <v>133.4</v>
      </c>
      <c r="AB8" s="17">
        <v>137.69999999999999</v>
      </c>
    </row>
    <row r="9" spans="1:28" x14ac:dyDescent="0.3">
      <c r="A9" s="17">
        <v>2019</v>
      </c>
      <c r="B9" s="17" t="s">
        <v>38</v>
      </c>
      <c r="C9" s="17">
        <v>138.30000000000001</v>
      </c>
      <c r="D9" s="17">
        <v>158.5</v>
      </c>
      <c r="E9" s="17">
        <v>136</v>
      </c>
      <c r="F9" s="17">
        <v>142.5</v>
      </c>
      <c r="G9" s="17">
        <v>122</v>
      </c>
      <c r="H9" s="17">
        <v>146.5</v>
      </c>
      <c r="I9" s="17">
        <v>143</v>
      </c>
      <c r="J9" s="17">
        <v>124.9</v>
      </c>
      <c r="K9" s="17">
        <v>109.9</v>
      </c>
      <c r="L9" s="17">
        <v>139.9</v>
      </c>
      <c r="M9" s="17">
        <v>134</v>
      </c>
      <c r="N9" s="17">
        <v>155.5</v>
      </c>
      <c r="O9" s="17">
        <v>140.9</v>
      </c>
      <c r="P9" s="17">
        <v>164.1</v>
      </c>
      <c r="Q9" s="17">
        <v>148.4</v>
      </c>
      <c r="R9" s="17">
        <v>140.4</v>
      </c>
      <c r="S9" s="17">
        <v>147.30000000000001</v>
      </c>
      <c r="T9" s="17">
        <v>150.1</v>
      </c>
      <c r="U9" s="17">
        <v>140.30000000000001</v>
      </c>
      <c r="V9" s="17">
        <v>143.69999999999999</v>
      </c>
      <c r="W9" s="17">
        <v>146.9</v>
      </c>
      <c r="X9" s="17">
        <v>124.9</v>
      </c>
      <c r="Y9" s="17">
        <v>139.19999999999999</v>
      </c>
      <c r="Z9" s="17">
        <v>151.6</v>
      </c>
      <c r="AA9" s="17">
        <v>133.4</v>
      </c>
      <c r="AB9" s="17">
        <v>138.19999999999999</v>
      </c>
    </row>
    <row r="10" spans="1:28" x14ac:dyDescent="0.3">
      <c r="A10" s="17">
        <v>2019</v>
      </c>
      <c r="B10" s="17" t="s">
        <v>39</v>
      </c>
      <c r="C10" s="17">
        <v>138.69999999999999</v>
      </c>
      <c r="D10" s="17">
        <v>162.1</v>
      </c>
      <c r="E10" s="17">
        <v>137.80000000000001</v>
      </c>
      <c r="F10" s="17">
        <v>143.30000000000001</v>
      </c>
      <c r="G10" s="17">
        <v>122.2</v>
      </c>
      <c r="H10" s="17">
        <v>146.80000000000001</v>
      </c>
      <c r="I10" s="17">
        <v>150.5</v>
      </c>
      <c r="J10" s="17">
        <v>128.30000000000001</v>
      </c>
      <c r="K10" s="17">
        <v>111</v>
      </c>
      <c r="L10" s="17">
        <v>140.6</v>
      </c>
      <c r="M10" s="17">
        <v>134.19999999999999</v>
      </c>
      <c r="N10" s="17">
        <v>155.9</v>
      </c>
      <c r="O10" s="17">
        <v>142.69999999999999</v>
      </c>
      <c r="P10" s="17">
        <v>164.9</v>
      </c>
      <c r="Q10" s="17">
        <v>148.6</v>
      </c>
      <c r="R10" s="17">
        <v>140.4</v>
      </c>
      <c r="S10" s="17">
        <v>147.4</v>
      </c>
      <c r="T10" s="17">
        <v>149.4</v>
      </c>
      <c r="U10" s="17">
        <v>141.19999999999999</v>
      </c>
      <c r="V10" s="17">
        <v>143.80000000000001</v>
      </c>
      <c r="W10" s="17">
        <v>147.4</v>
      </c>
      <c r="X10" s="17">
        <v>124.6</v>
      </c>
      <c r="Y10" s="17">
        <v>139.6</v>
      </c>
      <c r="Z10" s="17">
        <v>152.5</v>
      </c>
      <c r="AA10" s="17">
        <v>134.30000000000001</v>
      </c>
      <c r="AB10" s="17">
        <v>138.6</v>
      </c>
    </row>
    <row r="11" spans="1:28" x14ac:dyDescent="0.3">
      <c r="A11" s="17">
        <v>2019</v>
      </c>
      <c r="B11" s="17" t="s">
        <v>40</v>
      </c>
      <c r="C11" s="17">
        <v>139.30000000000001</v>
      </c>
      <c r="D11" s="17">
        <v>162.69999999999999</v>
      </c>
      <c r="E11" s="17">
        <v>140</v>
      </c>
      <c r="F11" s="17">
        <v>144</v>
      </c>
      <c r="G11" s="17">
        <v>122.5</v>
      </c>
      <c r="H11" s="17">
        <v>150.30000000000001</v>
      </c>
      <c r="I11" s="17">
        <v>160.30000000000001</v>
      </c>
      <c r="J11" s="17">
        <v>130</v>
      </c>
      <c r="K11" s="17">
        <v>111.1</v>
      </c>
      <c r="L11" s="17">
        <v>141.69999999999999</v>
      </c>
      <c r="M11" s="17">
        <v>134.69999999999999</v>
      </c>
      <c r="N11" s="17">
        <v>156.19999999999999</v>
      </c>
      <c r="O11" s="17">
        <v>144.69999999999999</v>
      </c>
      <c r="P11" s="17">
        <v>165.2</v>
      </c>
      <c r="Q11" s="17">
        <v>148.9</v>
      </c>
      <c r="R11" s="17">
        <v>140.5</v>
      </c>
      <c r="S11" s="17">
        <v>147.6</v>
      </c>
      <c r="T11" s="17">
        <v>150.6</v>
      </c>
      <c r="U11" s="17">
        <v>139.30000000000001</v>
      </c>
      <c r="V11" s="17">
        <v>144.19999999999999</v>
      </c>
      <c r="W11" s="17">
        <v>147.9</v>
      </c>
      <c r="X11" s="17">
        <v>125.6</v>
      </c>
      <c r="Y11" s="17">
        <v>140.5</v>
      </c>
      <c r="Z11" s="17">
        <v>154</v>
      </c>
      <c r="AA11" s="17">
        <v>135.69999999999999</v>
      </c>
      <c r="AB11" s="17">
        <v>139.5</v>
      </c>
    </row>
    <row r="12" spans="1:28" x14ac:dyDescent="0.3">
      <c r="A12" s="17">
        <v>2019</v>
      </c>
      <c r="B12" s="17" t="s">
        <v>41</v>
      </c>
      <c r="C12" s="17">
        <v>140.1</v>
      </c>
      <c r="D12" s="17">
        <v>160.6</v>
      </c>
      <c r="E12" s="17">
        <v>138.5</v>
      </c>
      <c r="F12" s="17">
        <v>144.69999999999999</v>
      </c>
      <c r="G12" s="17">
        <v>122.9</v>
      </c>
      <c r="H12" s="17">
        <v>149.4</v>
      </c>
      <c r="I12" s="17">
        <v>167.4</v>
      </c>
      <c r="J12" s="17">
        <v>130.9</v>
      </c>
      <c r="K12" s="17">
        <v>112</v>
      </c>
      <c r="L12" s="17">
        <v>142.6</v>
      </c>
      <c r="M12" s="17">
        <v>134.9</v>
      </c>
      <c r="N12" s="17">
        <v>156.6</v>
      </c>
      <c r="O12" s="17">
        <v>145.9</v>
      </c>
      <c r="P12" s="17">
        <v>165.8</v>
      </c>
      <c r="Q12" s="17">
        <v>149.1</v>
      </c>
      <c r="R12" s="17">
        <v>140.6</v>
      </c>
      <c r="S12" s="17">
        <v>147.9</v>
      </c>
      <c r="T12" s="17">
        <v>151.6</v>
      </c>
      <c r="U12" s="17">
        <v>138.5</v>
      </c>
      <c r="V12" s="17">
        <v>144.5</v>
      </c>
      <c r="W12" s="17">
        <v>148.5</v>
      </c>
      <c r="X12" s="17">
        <v>125.8</v>
      </c>
      <c r="Y12" s="17">
        <v>140.9</v>
      </c>
      <c r="Z12" s="17">
        <v>154.9</v>
      </c>
      <c r="AA12" s="17">
        <v>138.4</v>
      </c>
      <c r="AB12" s="17">
        <v>140.19999999999999</v>
      </c>
    </row>
    <row r="13" spans="1:28" x14ac:dyDescent="0.3">
      <c r="A13" s="17">
        <v>2019</v>
      </c>
      <c r="B13" s="17" t="s">
        <v>42</v>
      </c>
      <c r="C13" s="17">
        <v>140.9</v>
      </c>
      <c r="D13" s="17">
        <v>160.80000000000001</v>
      </c>
      <c r="E13" s="17">
        <v>139.6</v>
      </c>
      <c r="F13" s="17">
        <v>145.4</v>
      </c>
      <c r="G13" s="17">
        <v>123.5</v>
      </c>
      <c r="H13" s="17">
        <v>146.6</v>
      </c>
      <c r="I13" s="17">
        <v>173.2</v>
      </c>
      <c r="J13" s="17">
        <v>131.6</v>
      </c>
      <c r="K13" s="17">
        <v>113.2</v>
      </c>
      <c r="L13" s="17">
        <v>144.1</v>
      </c>
      <c r="M13" s="17">
        <v>135</v>
      </c>
      <c r="N13" s="17">
        <v>156.80000000000001</v>
      </c>
      <c r="O13" s="17">
        <v>147</v>
      </c>
      <c r="P13" s="17">
        <v>166.5</v>
      </c>
      <c r="Q13" s="17">
        <v>149.19999999999999</v>
      </c>
      <c r="R13" s="17">
        <v>140.6</v>
      </c>
      <c r="S13" s="17">
        <v>147.9</v>
      </c>
      <c r="T13" s="17">
        <v>152.19999999999999</v>
      </c>
      <c r="U13" s="17">
        <v>139.19999999999999</v>
      </c>
      <c r="V13" s="17">
        <v>144.6</v>
      </c>
      <c r="W13" s="17">
        <v>149</v>
      </c>
      <c r="X13" s="17">
        <v>126.1</v>
      </c>
      <c r="Y13" s="17">
        <v>141.30000000000001</v>
      </c>
      <c r="Z13" s="17">
        <v>155.19999999999999</v>
      </c>
      <c r="AA13" s="17">
        <v>139.69999999999999</v>
      </c>
      <c r="AB13" s="17">
        <v>140.69999999999999</v>
      </c>
    </row>
    <row r="14" spans="1:28" x14ac:dyDescent="0.3">
      <c r="A14" s="17">
        <v>2019</v>
      </c>
      <c r="B14" s="17" t="s">
        <v>43</v>
      </c>
      <c r="C14" s="17">
        <v>141.80000000000001</v>
      </c>
      <c r="D14" s="17">
        <v>161</v>
      </c>
      <c r="E14" s="17">
        <v>142.6</v>
      </c>
      <c r="F14" s="17">
        <v>146.19999999999999</v>
      </c>
      <c r="G14" s="17">
        <v>123.9</v>
      </c>
      <c r="H14" s="17">
        <v>148</v>
      </c>
      <c r="I14" s="17">
        <v>188.4</v>
      </c>
      <c r="J14" s="17">
        <v>132.5</v>
      </c>
      <c r="K14" s="17">
        <v>114</v>
      </c>
      <c r="L14" s="17">
        <v>145.4</v>
      </c>
      <c r="M14" s="17">
        <v>135.1</v>
      </c>
      <c r="N14" s="17">
        <v>157.1</v>
      </c>
      <c r="O14" s="17">
        <v>149.6</v>
      </c>
      <c r="P14" s="17">
        <v>167.1</v>
      </c>
      <c r="Q14" s="17">
        <v>149.4</v>
      </c>
      <c r="R14" s="17">
        <v>140.80000000000001</v>
      </c>
      <c r="S14" s="17">
        <v>148.19999999999999</v>
      </c>
      <c r="T14" s="17">
        <v>153</v>
      </c>
      <c r="U14" s="17">
        <v>140.6</v>
      </c>
      <c r="V14" s="17">
        <v>145</v>
      </c>
      <c r="W14" s="17">
        <v>149.4</v>
      </c>
      <c r="X14" s="17">
        <v>126.3</v>
      </c>
      <c r="Y14" s="17">
        <v>141.69999999999999</v>
      </c>
      <c r="Z14" s="17">
        <v>155.4</v>
      </c>
      <c r="AA14" s="17">
        <v>140</v>
      </c>
      <c r="AB14" s="17">
        <v>141</v>
      </c>
    </row>
    <row r="15" spans="1:28" x14ac:dyDescent="0.3">
      <c r="A15" s="17">
        <v>2019</v>
      </c>
      <c r="B15" s="17" t="s">
        <v>45</v>
      </c>
      <c r="C15" s="17">
        <v>142.5</v>
      </c>
      <c r="D15" s="17">
        <v>163.19999999999999</v>
      </c>
      <c r="E15" s="17">
        <v>145.6</v>
      </c>
      <c r="F15" s="17">
        <v>146.69999999999999</v>
      </c>
      <c r="G15" s="17">
        <v>124.3</v>
      </c>
      <c r="H15" s="17">
        <v>147.4</v>
      </c>
      <c r="I15" s="17">
        <v>199.6</v>
      </c>
      <c r="J15" s="17">
        <v>135.69999999999999</v>
      </c>
      <c r="K15" s="17">
        <v>114.2</v>
      </c>
      <c r="L15" s="17">
        <v>147</v>
      </c>
      <c r="M15" s="17">
        <v>135.30000000000001</v>
      </c>
      <c r="N15" s="17">
        <v>157.5</v>
      </c>
      <c r="O15" s="17">
        <v>151.9</v>
      </c>
      <c r="P15" s="17">
        <v>167.9</v>
      </c>
      <c r="Q15" s="17">
        <v>149.9</v>
      </c>
      <c r="R15" s="17">
        <v>141</v>
      </c>
      <c r="S15" s="17">
        <v>148.6</v>
      </c>
      <c r="T15" s="17">
        <v>153.5</v>
      </c>
      <c r="U15" s="17">
        <v>142.30000000000001</v>
      </c>
      <c r="V15" s="17">
        <v>145.30000000000001</v>
      </c>
      <c r="W15" s="17">
        <v>149.9</v>
      </c>
      <c r="X15" s="17">
        <v>126.6</v>
      </c>
      <c r="Y15" s="17">
        <v>142.1</v>
      </c>
      <c r="Z15" s="17">
        <v>155.5</v>
      </c>
      <c r="AA15" s="17">
        <v>140.30000000000001</v>
      </c>
      <c r="AB15" s="17">
        <v>141.30000000000001</v>
      </c>
    </row>
    <row r="16" spans="1:28" x14ac:dyDescent="0.3">
      <c r="A16" s="17">
        <v>2019</v>
      </c>
      <c r="B16" s="17" t="s">
        <v>46</v>
      </c>
      <c r="C16" s="17">
        <v>143.5</v>
      </c>
      <c r="D16" s="17">
        <v>165</v>
      </c>
      <c r="E16" s="17">
        <v>151.1</v>
      </c>
      <c r="F16" s="17">
        <v>148.30000000000001</v>
      </c>
      <c r="G16" s="17">
        <v>125.7</v>
      </c>
      <c r="H16" s="17">
        <v>145.69999999999999</v>
      </c>
      <c r="I16" s="17">
        <v>217</v>
      </c>
      <c r="J16" s="17">
        <v>138.30000000000001</v>
      </c>
      <c r="K16" s="17">
        <v>114</v>
      </c>
      <c r="L16" s="17">
        <v>148.69999999999999</v>
      </c>
      <c r="M16" s="17">
        <v>135.80000000000001</v>
      </c>
      <c r="N16" s="17">
        <v>158</v>
      </c>
      <c r="O16" s="17">
        <v>155</v>
      </c>
      <c r="P16" s="17">
        <v>168.5</v>
      </c>
      <c r="Q16" s="17">
        <v>150.30000000000001</v>
      </c>
      <c r="R16" s="17">
        <v>141.30000000000001</v>
      </c>
      <c r="S16" s="17">
        <v>149</v>
      </c>
      <c r="T16" s="17">
        <v>152.80000000000001</v>
      </c>
      <c r="U16" s="17">
        <v>143.69999999999999</v>
      </c>
      <c r="V16" s="17">
        <v>145.80000000000001</v>
      </c>
      <c r="W16" s="17">
        <v>150.4</v>
      </c>
      <c r="X16" s="17">
        <v>129.80000000000001</v>
      </c>
      <c r="Y16" s="17">
        <v>142.30000000000001</v>
      </c>
      <c r="Z16" s="17">
        <v>155.69999999999999</v>
      </c>
      <c r="AA16" s="17">
        <v>140.4</v>
      </c>
      <c r="AB16" s="17">
        <v>142.5</v>
      </c>
    </row>
    <row r="17" spans="1:28" x14ac:dyDescent="0.3">
      <c r="A17" s="98" t="s">
        <v>81</v>
      </c>
      <c r="B17" s="99"/>
      <c r="C17" s="18">
        <f>(C16-C6)/C6</f>
        <v>4.6681254558716308E-2</v>
      </c>
      <c r="D17" s="18">
        <f t="shared" ref="D17:AB17" si="0">(D16-D6)/D6</f>
        <v>8.9828269484808418E-2</v>
      </c>
      <c r="E17" s="18">
        <f t="shared" si="0"/>
        <v>7.7746077032810321E-2</v>
      </c>
      <c r="F17" s="18">
        <f t="shared" si="0"/>
        <v>4.3631245601689073E-2</v>
      </c>
      <c r="G17" s="18">
        <f t="shared" si="0"/>
        <v>3.2019704433497581E-2</v>
      </c>
      <c r="H17" s="18">
        <f t="shared" si="0"/>
        <v>7.6070901033973279E-2</v>
      </c>
      <c r="I17" s="18">
        <f t="shared" si="0"/>
        <v>0.65270373191165254</v>
      </c>
      <c r="J17" s="18">
        <f t="shared" si="0"/>
        <v>0.14962593516209488</v>
      </c>
      <c r="K17" s="18">
        <f t="shared" si="0"/>
        <v>4.491292392300647E-2</v>
      </c>
      <c r="L17" s="18">
        <f t="shared" si="0"/>
        <v>6.671449067431838E-2</v>
      </c>
      <c r="M17" s="18">
        <f t="shared" si="0"/>
        <v>1.8754688672168042E-2</v>
      </c>
      <c r="N17" s="18">
        <f t="shared" si="0"/>
        <v>2.1992238033635224E-2</v>
      </c>
      <c r="O17" s="18">
        <f t="shared" si="0"/>
        <v>0.1280931586608442</v>
      </c>
      <c r="P17" s="18">
        <f t="shared" si="0"/>
        <v>3.2475490196078503E-2</v>
      </c>
      <c r="Q17" s="18">
        <f t="shared" si="0"/>
        <v>1.8292682926829385E-2</v>
      </c>
      <c r="R17" s="18">
        <f t="shared" si="0"/>
        <v>1.6546762589928141E-2</v>
      </c>
      <c r="S17" s="18">
        <f t="shared" si="0"/>
        <v>1.7759562841530015E-2</v>
      </c>
      <c r="T17" s="18">
        <f t="shared" si="0"/>
        <v>3.4529451591063125E-2</v>
      </c>
      <c r="U17" s="18">
        <f t="shared" si="0"/>
        <v>3.0107526881720349E-2</v>
      </c>
      <c r="V17" s="18">
        <f t="shared" si="0"/>
        <v>1.5320334261838559E-2</v>
      </c>
      <c r="W17" s="18">
        <f t="shared" si="0"/>
        <v>3.6526533425224064E-2</v>
      </c>
      <c r="X17" s="18">
        <f t="shared" si="0"/>
        <v>5.2716950527169619E-2</v>
      </c>
      <c r="Y17" s="18">
        <f t="shared" si="0"/>
        <v>4.0965618141916772E-2</v>
      </c>
      <c r="Z17" s="18">
        <f t="shared" si="0"/>
        <v>3.6617842876165117E-2</v>
      </c>
      <c r="AA17" s="18">
        <f t="shared" si="0"/>
        <v>5.7228915662650558E-2</v>
      </c>
      <c r="AB17" s="18">
        <f t="shared" si="0"/>
        <v>4.090577063550032E-2</v>
      </c>
    </row>
    <row r="19" spans="1:28" s="58" customFormat="1" ht="18" x14ac:dyDescent="0.35">
      <c r="A19" s="58" t="s">
        <v>96</v>
      </c>
    </row>
  </sheetData>
  <mergeCells count="2">
    <mergeCell ref="A17:B17"/>
    <mergeCell ref="A1:Q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8AFC-DFB5-4828-982B-B3C6A22290E5}">
  <sheetPr>
    <tabColor rgb="FF92D050"/>
  </sheetPr>
  <dimension ref="A1:R38"/>
  <sheetViews>
    <sheetView showGridLines="0" topLeftCell="A6" workbookViewId="0">
      <selection activeCell="B23" sqref="B23"/>
    </sheetView>
  </sheetViews>
  <sheetFormatPr defaultRowHeight="14.4" x14ac:dyDescent="0.3"/>
  <cols>
    <col min="1" max="1" width="14.6640625" bestFit="1" customWidth="1"/>
    <col min="2" max="3" width="19.33203125" bestFit="1" customWidth="1"/>
    <col min="4" max="4" width="28.6640625" bestFit="1" customWidth="1"/>
    <col min="5" max="5" width="19.77734375" bestFit="1" customWidth="1"/>
    <col min="6" max="6" width="10.21875" customWidth="1"/>
    <col min="7" max="7" width="25.109375" bestFit="1" customWidth="1"/>
    <col min="8" max="8" width="18.109375" bestFit="1" customWidth="1"/>
    <col min="9" max="9" width="9.33203125" bestFit="1" customWidth="1"/>
    <col min="10" max="10" width="16.21875" bestFit="1" customWidth="1"/>
    <col min="11" max="11" width="27.33203125" bestFit="1" customWidth="1"/>
    <col min="12" max="12" width="33.33203125" bestFit="1" customWidth="1"/>
    <col min="13" max="13" width="10" bestFit="1" customWidth="1"/>
    <col min="14" max="14" width="33.33203125" bestFit="1" customWidth="1"/>
    <col min="15" max="15" width="47.5546875" bestFit="1" customWidth="1"/>
    <col min="16" max="16" width="27.5546875" bestFit="1" customWidth="1"/>
    <col min="17" max="17" width="32.21875" bestFit="1" customWidth="1"/>
    <col min="18" max="18" width="19.44140625" bestFit="1" customWidth="1"/>
  </cols>
  <sheetData>
    <row r="1" spans="1:18" x14ac:dyDescent="0.3">
      <c r="A1" s="93" t="s">
        <v>101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8" x14ac:dyDescent="0.3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spans="1:18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</row>
    <row r="5" spans="1:18" ht="21" x14ac:dyDescent="0.3">
      <c r="A5" s="21" t="s">
        <v>0</v>
      </c>
      <c r="B5" s="21" t="s">
        <v>1</v>
      </c>
      <c r="C5" s="21" t="s">
        <v>2</v>
      </c>
      <c r="D5" s="21" t="s">
        <v>3</v>
      </c>
      <c r="E5" s="21" t="s">
        <v>4</v>
      </c>
      <c r="F5" s="21" t="s">
        <v>5</v>
      </c>
      <c r="G5" s="21" t="s">
        <v>6</v>
      </c>
      <c r="H5" s="21" t="s">
        <v>7</v>
      </c>
      <c r="I5" s="21" t="s">
        <v>8</v>
      </c>
      <c r="J5" s="21" t="s">
        <v>9</v>
      </c>
      <c r="K5" s="21" t="s">
        <v>10</v>
      </c>
      <c r="L5" s="21" t="s">
        <v>11</v>
      </c>
      <c r="M5" s="21" t="s">
        <v>12</v>
      </c>
      <c r="N5" s="21" t="s">
        <v>13</v>
      </c>
      <c r="O5" s="21" t="s">
        <v>14</v>
      </c>
      <c r="P5" s="21" t="s">
        <v>15</v>
      </c>
      <c r="Q5" s="21" t="s">
        <v>82</v>
      </c>
      <c r="R5" s="21" t="s">
        <v>80</v>
      </c>
    </row>
    <row r="6" spans="1:18" x14ac:dyDescent="0.3">
      <c r="A6" s="22" t="s">
        <v>34</v>
      </c>
      <c r="B6" s="22">
        <v>2022</v>
      </c>
      <c r="C6" s="22" t="s">
        <v>38</v>
      </c>
      <c r="D6" s="22" cm="1">
        <f t="array" ref="D6">INDEX(EXP!$D:$AA,MATCH(1,(EXP!$A:$A=$A6)*(EXP!$B:$B=$B6)*(EXP!$C:$C=$C6),0),MATCH(D$5,EXP!$D$1:$AA$1,0))</f>
        <v>154.1</v>
      </c>
      <c r="E6" s="22" cm="1">
        <f t="array" ref="E6">INDEX(EXP!$D:$AA,MATCH(1,(EXP!$A:$A=$A6)*(EXP!$B:$B=$B6)*(EXP!$C:$C=$C6),0),MATCH(E$5,EXP!$D$1:$AA$1,0))</f>
        <v>217</v>
      </c>
      <c r="F6" s="22" cm="1">
        <f t="array" ref="F6">INDEX(EXP!$D:$AA,MATCH(1,(EXP!$A:$A=$A6)*(EXP!$B:$B=$B6)*(EXP!$C:$C=$C6),0),MATCH(F$5,EXP!$D$1:$AA$1,0))</f>
        <v>162.4</v>
      </c>
      <c r="G6" s="22" cm="1">
        <f t="array" ref="G6">INDEX(EXP!$D:$AA,MATCH(1,(EXP!$A:$A=$A6)*(EXP!$B:$B=$B6)*(EXP!$C:$C=$C6),0),MATCH(G$5,EXP!$D$1:$AA$1,0))</f>
        <v>164.9</v>
      </c>
      <c r="H6" s="22" cm="1">
        <f t="array" ref="H6">INDEX(EXP!$D:$AA,MATCH(1,(EXP!$A:$A=$A6)*(EXP!$B:$B=$B6)*(EXP!$C:$C=$C6),0),MATCH(H$5,EXP!$D$1:$AA$1,0))</f>
        <v>202.4</v>
      </c>
      <c r="I6" s="22" cm="1">
        <f t="array" ref="I6">INDEX(EXP!$D:$AA,MATCH(1,(EXP!$A:$A=$A6)*(EXP!$B:$B=$B6)*(EXP!$C:$C=$C6),0),MATCH(I$5,EXP!$D$1:$AA$1,0))</f>
        <v>171</v>
      </c>
      <c r="J6" s="22" cm="1">
        <f t="array" ref="J6">INDEX(EXP!$D:$AA,MATCH(1,(EXP!$A:$A=$A6)*(EXP!$B:$B=$B6)*(EXP!$C:$C=$C6),0),MATCH(J$5,EXP!$D$1:$AA$1,0))</f>
        <v>174.9</v>
      </c>
      <c r="K6" s="22" cm="1">
        <f t="array" ref="K6">INDEX(EXP!$D:$AA,MATCH(1,(EXP!$A:$A=$A6)*(EXP!$B:$B=$B6)*(EXP!$C:$C=$C6),0),MATCH(K$5,EXP!$D$1:$AA$1,0))</f>
        <v>164.7</v>
      </c>
      <c r="L6" s="22" cm="1">
        <f t="array" ref="L6">INDEX(EXP!$D:$AA,MATCH(1,(EXP!$A:$A=$A6)*(EXP!$B:$B=$B6)*(EXP!$C:$C=$C6),0),MATCH(L$5,EXP!$D$1:$AA$1,0))</f>
        <v>119.7</v>
      </c>
      <c r="M6" s="22" cm="1">
        <f t="array" ref="M6">INDEX(EXP!$D:$AA,MATCH(1,(EXP!$A:$A=$A6)*(EXP!$B:$B=$B6)*(EXP!$C:$C=$C6),0),MATCH(M$5,EXP!$D$1:$AA$1,0))</f>
        <v>184.9</v>
      </c>
      <c r="N6" s="22" cm="1">
        <f t="array" ref="N6">INDEX(EXP!$D:$AA,MATCH(1,(EXP!$A:$A=$A6)*(EXP!$B:$B=$B6)*(EXP!$C:$C=$C6),0),MATCH(N$5,EXP!$D$1:$AA$1,0))</f>
        <v>167.1</v>
      </c>
      <c r="O6" s="22" cm="1">
        <f t="array" ref="O6">INDEX(EXP!$D:$AA,MATCH(1,(EXP!$A:$A=$A6)*(EXP!$B:$B=$B6)*(EXP!$C:$C=$C6),0),MATCH(O$5,EXP!$D$1:$AA$1,0))</f>
        <v>182.5</v>
      </c>
      <c r="P6" s="22" cm="1">
        <f t="array" ref="P6">INDEX(EXP!$D:$AA,MATCH(1,(EXP!$A:$A=$A6)*(EXP!$B:$B=$B6)*(EXP!$C:$C=$C6),0),MATCH(P$5,EXP!$D$1:$AA$1,0))</f>
        <v>173.3</v>
      </c>
      <c r="Q6" s="22">
        <f>SUM(D6:P6)</f>
        <v>2238.9000000000005</v>
      </c>
      <c r="R6" s="22"/>
    </row>
    <row r="7" spans="1:18" x14ac:dyDescent="0.3">
      <c r="A7" s="22" t="s">
        <v>34</v>
      </c>
      <c r="B7" s="22">
        <v>2022</v>
      </c>
      <c r="C7" s="22" t="s">
        <v>39</v>
      </c>
      <c r="D7" s="22" cm="1">
        <f t="array" ref="D7">INDEX(EXP!$D:$AA,MATCH(1,(EXP!$A:$A=$A7)*(EXP!$B:$B=$B7)*(EXP!$C:$C=$C7),0),MATCH(D$5,EXP!$D$1:$AA$1,0))</f>
        <v>155</v>
      </c>
      <c r="E7" s="22" cm="1">
        <f t="array" ref="E7">INDEX(EXP!$D:$AA,MATCH(1,(EXP!$A:$A=$A7)*(EXP!$B:$B=$B7)*(EXP!$C:$C=$C7),0),MATCH(E$5,EXP!$D$1:$AA$1,0))</f>
        <v>219.4</v>
      </c>
      <c r="F7" s="22" cm="1">
        <f t="array" ref="F7">INDEX(EXP!$D:$AA,MATCH(1,(EXP!$A:$A=$A7)*(EXP!$B:$B=$B7)*(EXP!$C:$C=$C7),0),MATCH(F$5,EXP!$D$1:$AA$1,0))</f>
        <v>170.8</v>
      </c>
      <c r="G7" s="22" cm="1">
        <f t="array" ref="G7">INDEX(EXP!$D:$AA,MATCH(1,(EXP!$A:$A=$A7)*(EXP!$B:$B=$B7)*(EXP!$C:$C=$C7),0),MATCH(G$5,EXP!$D$1:$AA$1,0))</f>
        <v>165.8</v>
      </c>
      <c r="H7" s="22" cm="1">
        <f t="array" ref="H7">INDEX(EXP!$D:$AA,MATCH(1,(EXP!$A:$A=$A7)*(EXP!$B:$B=$B7)*(EXP!$C:$C=$C7),0),MATCH(H$5,EXP!$D$1:$AA$1,0))</f>
        <v>200.9</v>
      </c>
      <c r="I7" s="22" cm="1">
        <f t="array" ref="I7">INDEX(EXP!$D:$AA,MATCH(1,(EXP!$A:$A=$A7)*(EXP!$B:$B=$B7)*(EXP!$C:$C=$C7),0),MATCH(I$5,EXP!$D$1:$AA$1,0))</f>
        <v>169.7</v>
      </c>
      <c r="J7" s="22" cm="1">
        <f t="array" ref="J7">INDEX(EXP!$D:$AA,MATCH(1,(EXP!$A:$A=$A7)*(EXP!$B:$B=$B7)*(EXP!$C:$C=$C7),0),MATCH(J$5,EXP!$D$1:$AA$1,0))</f>
        <v>182.3</v>
      </c>
      <c r="K7" s="22" cm="1">
        <f t="array" ref="K7">INDEX(EXP!$D:$AA,MATCH(1,(EXP!$A:$A=$A7)*(EXP!$B:$B=$B7)*(EXP!$C:$C=$C7),0),MATCH(K$5,EXP!$D$1:$AA$1,0))</f>
        <v>164.3</v>
      </c>
      <c r="L7" s="22" cm="1">
        <f t="array" ref="L7">INDEX(EXP!$D:$AA,MATCH(1,(EXP!$A:$A=$A7)*(EXP!$B:$B=$B7)*(EXP!$C:$C=$C7),0),MATCH(L$5,EXP!$D$1:$AA$1,0))</f>
        <v>119.9</v>
      </c>
      <c r="M7" s="22" cm="1">
        <f t="array" ref="M7">INDEX(EXP!$D:$AA,MATCH(1,(EXP!$A:$A=$A7)*(EXP!$B:$B=$B7)*(EXP!$C:$C=$C7),0),MATCH(M$5,EXP!$D$1:$AA$1,0))</f>
        <v>187.1</v>
      </c>
      <c r="N7" s="22" cm="1">
        <f t="array" ref="N7">INDEX(EXP!$D:$AA,MATCH(1,(EXP!$A:$A=$A7)*(EXP!$B:$B=$B7)*(EXP!$C:$C=$C7),0),MATCH(N$5,EXP!$D$1:$AA$1,0))</f>
        <v>167.9</v>
      </c>
      <c r="O7" s="22" cm="1">
        <f t="array" ref="O7">INDEX(EXP!$D:$AA,MATCH(1,(EXP!$A:$A=$A7)*(EXP!$B:$B=$B7)*(EXP!$C:$C=$C7),0),MATCH(O$5,EXP!$D$1:$AA$1,0))</f>
        <v>183.9</v>
      </c>
      <c r="P7" s="22" cm="1">
        <f t="array" ref="P7">INDEX(EXP!$D:$AA,MATCH(1,(EXP!$A:$A=$A7)*(EXP!$B:$B=$B7)*(EXP!$C:$C=$C7),0),MATCH(P$5,EXP!$D$1:$AA$1,0))</f>
        <v>174.9</v>
      </c>
      <c r="Q7" s="22">
        <f t="shared" ref="Q7:Q18" si="0">SUM(D7:P7)</f>
        <v>2261.9</v>
      </c>
      <c r="R7" s="23">
        <f>(Q7-Q6)/Q6</f>
        <v>1.0272901871454526E-2</v>
      </c>
    </row>
    <row r="8" spans="1:18" x14ac:dyDescent="0.3">
      <c r="A8" s="22" t="s">
        <v>34</v>
      </c>
      <c r="B8" s="22">
        <v>2022</v>
      </c>
      <c r="C8" s="22" t="s">
        <v>40</v>
      </c>
      <c r="D8" s="22" cm="1">
        <f t="array" ref="D8">INDEX(EXP!$D:$AA,MATCH(1,(EXP!$A:$A=$A8)*(EXP!$B:$B=$B8)*(EXP!$C:$C=$C8),0),MATCH(D$5,EXP!$D$1:$AA$1,0))</f>
        <v>156.5</v>
      </c>
      <c r="E8" s="22" cm="1">
        <f t="array" ref="E8">INDEX(EXP!$D:$AA,MATCH(1,(EXP!$A:$A=$A8)*(EXP!$B:$B=$B8)*(EXP!$C:$C=$C8),0),MATCH(E$5,EXP!$D$1:$AA$1,0))</f>
        <v>213</v>
      </c>
      <c r="F8" s="22" cm="1">
        <f t="array" ref="F8">INDEX(EXP!$D:$AA,MATCH(1,(EXP!$A:$A=$A8)*(EXP!$B:$B=$B8)*(EXP!$C:$C=$C8),0),MATCH(F$5,EXP!$D$1:$AA$1,0))</f>
        <v>175.2</v>
      </c>
      <c r="G8" s="22" cm="1">
        <f t="array" ref="G8">INDEX(EXP!$D:$AA,MATCH(1,(EXP!$A:$A=$A8)*(EXP!$B:$B=$B8)*(EXP!$C:$C=$C8),0),MATCH(G$5,EXP!$D$1:$AA$1,0))</f>
        <v>166.6</v>
      </c>
      <c r="H8" s="22" cm="1">
        <f t="array" ref="H8">INDEX(EXP!$D:$AA,MATCH(1,(EXP!$A:$A=$A8)*(EXP!$B:$B=$B8)*(EXP!$C:$C=$C8),0),MATCH(H$5,EXP!$D$1:$AA$1,0))</f>
        <v>195.8</v>
      </c>
      <c r="I8" s="22" cm="1">
        <f t="array" ref="I8">INDEX(EXP!$D:$AA,MATCH(1,(EXP!$A:$A=$A8)*(EXP!$B:$B=$B8)*(EXP!$C:$C=$C8),0),MATCH(I$5,EXP!$D$1:$AA$1,0))</f>
        <v>174.2</v>
      </c>
      <c r="J8" s="22" cm="1">
        <f t="array" ref="J8">INDEX(EXP!$D:$AA,MATCH(1,(EXP!$A:$A=$A8)*(EXP!$B:$B=$B8)*(EXP!$C:$C=$C8),0),MATCH(J$5,EXP!$D$1:$AA$1,0))</f>
        <v>182.1</v>
      </c>
      <c r="K8" s="22" cm="1">
        <f t="array" ref="K8">INDEX(EXP!$D:$AA,MATCH(1,(EXP!$A:$A=$A8)*(EXP!$B:$B=$B8)*(EXP!$C:$C=$C8),0),MATCH(K$5,EXP!$D$1:$AA$1,0))</f>
        <v>164.3</v>
      </c>
      <c r="L8" s="22" cm="1">
        <f t="array" ref="L8">INDEX(EXP!$D:$AA,MATCH(1,(EXP!$A:$A=$A8)*(EXP!$B:$B=$B8)*(EXP!$C:$C=$C8),0),MATCH(L$5,EXP!$D$1:$AA$1,0))</f>
        <v>120</v>
      </c>
      <c r="M8" s="22" cm="1">
        <f t="array" ref="M8">INDEX(EXP!$D:$AA,MATCH(1,(EXP!$A:$A=$A8)*(EXP!$B:$B=$B8)*(EXP!$C:$C=$C8),0),MATCH(M$5,EXP!$D$1:$AA$1,0))</f>
        <v>190</v>
      </c>
      <c r="N8" s="22" cm="1">
        <f t="array" ref="N8">INDEX(EXP!$D:$AA,MATCH(1,(EXP!$A:$A=$A8)*(EXP!$B:$B=$B8)*(EXP!$C:$C=$C8),0),MATCH(N$5,EXP!$D$1:$AA$1,0))</f>
        <v>168.4</v>
      </c>
      <c r="O8" s="22" cm="1">
        <f t="array" ref="O8">INDEX(EXP!$D:$AA,MATCH(1,(EXP!$A:$A=$A8)*(EXP!$B:$B=$B8)*(EXP!$C:$C=$C8),0),MATCH(O$5,EXP!$D$1:$AA$1,0))</f>
        <v>185.2</v>
      </c>
      <c r="P8" s="22" cm="1">
        <f t="array" ref="P8">INDEX(EXP!$D:$AA,MATCH(1,(EXP!$A:$A=$A8)*(EXP!$B:$B=$B8)*(EXP!$C:$C=$C8),0),MATCH(P$5,EXP!$D$1:$AA$1,0))</f>
        <v>175</v>
      </c>
      <c r="Q8" s="22">
        <f t="shared" si="0"/>
        <v>2266.3000000000002</v>
      </c>
      <c r="R8" s="23">
        <f t="shared" ref="R8:R17" si="1">(Q8-Q7)/Q7</f>
        <v>1.9452672531942573E-3</v>
      </c>
    </row>
    <row r="9" spans="1:18" x14ac:dyDescent="0.3">
      <c r="A9" s="22" t="s">
        <v>34</v>
      </c>
      <c r="B9" s="22">
        <v>2022</v>
      </c>
      <c r="C9" s="22" t="s">
        <v>41</v>
      </c>
      <c r="D9" s="22" cm="1">
        <f t="array" ref="D9">INDEX(EXP!$D:$AA,MATCH(1,(EXP!$A:$A=$A9)*(EXP!$B:$B=$B9)*(EXP!$C:$C=$C9),0),MATCH(D$5,EXP!$D$1:$AA$1,0))</f>
        <v>160.30000000000001</v>
      </c>
      <c r="E9" s="22" cm="1">
        <f t="array" ref="E9">INDEX(EXP!$D:$AA,MATCH(1,(EXP!$A:$A=$A9)*(EXP!$B:$B=$B9)*(EXP!$C:$C=$C9),0),MATCH(E$5,EXP!$D$1:$AA$1,0))</f>
        <v>206.5</v>
      </c>
      <c r="F9" s="22" cm="1">
        <f t="array" ref="F9">INDEX(EXP!$D:$AA,MATCH(1,(EXP!$A:$A=$A9)*(EXP!$B:$B=$B9)*(EXP!$C:$C=$C9),0),MATCH(F$5,EXP!$D$1:$AA$1,0))</f>
        <v>169.2</v>
      </c>
      <c r="G9" s="22" cm="1">
        <f t="array" ref="G9">INDEX(EXP!$D:$AA,MATCH(1,(EXP!$A:$A=$A9)*(EXP!$B:$B=$B9)*(EXP!$C:$C=$C9),0),MATCH(G$5,EXP!$D$1:$AA$1,0))</f>
        <v>168.1</v>
      </c>
      <c r="H9" s="22" cm="1">
        <f t="array" ref="H9">INDEX(EXP!$D:$AA,MATCH(1,(EXP!$A:$A=$A9)*(EXP!$B:$B=$B9)*(EXP!$C:$C=$C9),0),MATCH(H$5,EXP!$D$1:$AA$1,0))</f>
        <v>192.4</v>
      </c>
      <c r="I9" s="22" cm="1">
        <f t="array" ref="I9">INDEX(EXP!$D:$AA,MATCH(1,(EXP!$A:$A=$A9)*(EXP!$B:$B=$B9)*(EXP!$C:$C=$C9),0),MATCH(I$5,EXP!$D$1:$AA$1,0))</f>
        <v>172.9</v>
      </c>
      <c r="J9" s="22" cm="1">
        <f t="array" ref="J9">INDEX(EXP!$D:$AA,MATCH(1,(EXP!$A:$A=$A9)*(EXP!$B:$B=$B9)*(EXP!$C:$C=$C9),0),MATCH(J$5,EXP!$D$1:$AA$1,0))</f>
        <v>186.7</v>
      </c>
      <c r="K9" s="22" cm="1">
        <f t="array" ref="K9">INDEX(EXP!$D:$AA,MATCH(1,(EXP!$A:$A=$A9)*(EXP!$B:$B=$B9)*(EXP!$C:$C=$C9),0),MATCH(K$5,EXP!$D$1:$AA$1,0))</f>
        <v>167.2</v>
      </c>
      <c r="L9" s="22" cm="1">
        <f t="array" ref="L9">INDEX(EXP!$D:$AA,MATCH(1,(EXP!$A:$A=$A9)*(EXP!$B:$B=$B9)*(EXP!$C:$C=$C9),0),MATCH(L$5,EXP!$D$1:$AA$1,0))</f>
        <v>120.9</v>
      </c>
      <c r="M9" s="22" cm="1">
        <f t="array" ref="M9">INDEX(EXP!$D:$AA,MATCH(1,(EXP!$A:$A=$A9)*(EXP!$B:$B=$B9)*(EXP!$C:$C=$C9),0),MATCH(M$5,EXP!$D$1:$AA$1,0))</f>
        <v>193.6</v>
      </c>
      <c r="N9" s="22" cm="1">
        <f t="array" ref="N9">INDEX(EXP!$D:$AA,MATCH(1,(EXP!$A:$A=$A9)*(EXP!$B:$B=$B9)*(EXP!$C:$C=$C9),0),MATCH(N$5,EXP!$D$1:$AA$1,0))</f>
        <v>168.8</v>
      </c>
      <c r="O9" s="22" cm="1">
        <f t="array" ref="O9">INDEX(EXP!$D:$AA,MATCH(1,(EXP!$A:$A=$A9)*(EXP!$B:$B=$B9)*(EXP!$C:$C=$C9),0),MATCH(O$5,EXP!$D$1:$AA$1,0))</f>
        <v>186.3</v>
      </c>
      <c r="P9" s="22" cm="1">
        <f t="array" ref="P9">INDEX(EXP!$D:$AA,MATCH(1,(EXP!$A:$A=$A9)*(EXP!$B:$B=$B9)*(EXP!$C:$C=$C9),0),MATCH(P$5,EXP!$D$1:$AA$1,0))</f>
        <v>176.3</v>
      </c>
      <c r="Q9" s="22">
        <f t="shared" si="0"/>
        <v>2269.2000000000003</v>
      </c>
      <c r="R9" s="23">
        <f t="shared" si="1"/>
        <v>1.279618761858576E-3</v>
      </c>
    </row>
    <row r="10" spans="1:18" x14ac:dyDescent="0.3">
      <c r="A10" s="22" t="s">
        <v>34</v>
      </c>
      <c r="B10" s="22">
        <v>2022</v>
      </c>
      <c r="C10" s="22" t="s">
        <v>42</v>
      </c>
      <c r="D10" s="22" cm="1">
        <f t="array" ref="D10">INDEX(EXP!$D:$AA,MATCH(1,(EXP!$A:$A=$A10)*(EXP!$B:$B=$B10)*(EXP!$C:$C=$C10),0),MATCH(D$5,EXP!$D$1:$AA$1,0))</f>
        <v>163.5</v>
      </c>
      <c r="E10" s="22" cm="1">
        <f t="array" ref="E10">INDEX(EXP!$D:$AA,MATCH(1,(EXP!$A:$A=$A10)*(EXP!$B:$B=$B10)*(EXP!$C:$C=$C10),0),MATCH(E$5,EXP!$D$1:$AA$1,0))</f>
        <v>209.2</v>
      </c>
      <c r="F10" s="22" cm="1">
        <f t="array" ref="F10">INDEX(EXP!$D:$AA,MATCH(1,(EXP!$A:$A=$A10)*(EXP!$B:$B=$B10)*(EXP!$C:$C=$C10),0),MATCH(F$5,EXP!$D$1:$AA$1,0))</f>
        <v>169.7</v>
      </c>
      <c r="G10" s="22" cm="1">
        <f t="array" ref="G10">INDEX(EXP!$D:$AA,MATCH(1,(EXP!$A:$A=$A10)*(EXP!$B:$B=$B10)*(EXP!$C:$C=$C10),0),MATCH(G$5,EXP!$D$1:$AA$1,0))</f>
        <v>169.7</v>
      </c>
      <c r="H10" s="22" cm="1">
        <f t="array" ref="H10">INDEX(EXP!$D:$AA,MATCH(1,(EXP!$A:$A=$A10)*(EXP!$B:$B=$B10)*(EXP!$C:$C=$C10),0),MATCH(H$5,EXP!$D$1:$AA$1,0))</f>
        <v>188.7</v>
      </c>
      <c r="I10" s="22" cm="1">
        <f t="array" ref="I10">INDEX(EXP!$D:$AA,MATCH(1,(EXP!$A:$A=$A10)*(EXP!$B:$B=$B10)*(EXP!$C:$C=$C10),0),MATCH(I$5,EXP!$D$1:$AA$1,0))</f>
        <v>165.7</v>
      </c>
      <c r="J10" s="22" cm="1">
        <f t="array" ref="J10">INDEX(EXP!$D:$AA,MATCH(1,(EXP!$A:$A=$A10)*(EXP!$B:$B=$B10)*(EXP!$C:$C=$C10),0),MATCH(J$5,EXP!$D$1:$AA$1,0))</f>
        <v>191.8</v>
      </c>
      <c r="K10" s="22" cm="1">
        <f t="array" ref="K10">INDEX(EXP!$D:$AA,MATCH(1,(EXP!$A:$A=$A10)*(EXP!$B:$B=$B10)*(EXP!$C:$C=$C10),0),MATCH(K$5,EXP!$D$1:$AA$1,0))</f>
        <v>169.1</v>
      </c>
      <c r="L10" s="22" cm="1">
        <f t="array" ref="L10">INDEX(EXP!$D:$AA,MATCH(1,(EXP!$A:$A=$A10)*(EXP!$B:$B=$B10)*(EXP!$C:$C=$C10),0),MATCH(L$5,EXP!$D$1:$AA$1,0))</f>
        <v>121.6</v>
      </c>
      <c r="M10" s="22" cm="1">
        <f t="array" ref="M10">INDEX(EXP!$D:$AA,MATCH(1,(EXP!$A:$A=$A10)*(EXP!$B:$B=$B10)*(EXP!$C:$C=$C10),0),MATCH(M$5,EXP!$D$1:$AA$1,0))</f>
        <v>197.3</v>
      </c>
      <c r="N10" s="22" cm="1">
        <f t="array" ref="N10">INDEX(EXP!$D:$AA,MATCH(1,(EXP!$A:$A=$A10)*(EXP!$B:$B=$B10)*(EXP!$C:$C=$C10),0),MATCH(N$5,EXP!$D$1:$AA$1,0))</f>
        <v>169.4</v>
      </c>
      <c r="O10" s="22" cm="1">
        <f t="array" ref="O10">INDEX(EXP!$D:$AA,MATCH(1,(EXP!$A:$A=$A10)*(EXP!$B:$B=$B10)*(EXP!$C:$C=$C10),0),MATCH(O$5,EXP!$D$1:$AA$1,0))</f>
        <v>187.4</v>
      </c>
      <c r="P10" s="22" cm="1">
        <f t="array" ref="P10">INDEX(EXP!$D:$AA,MATCH(1,(EXP!$A:$A=$A10)*(EXP!$B:$B=$B10)*(EXP!$C:$C=$C10),0),MATCH(P$5,EXP!$D$1:$AA$1,0))</f>
        <v>177.8</v>
      </c>
      <c r="Q10" s="22">
        <f t="shared" si="0"/>
        <v>2280.9</v>
      </c>
      <c r="R10" s="23">
        <f t="shared" si="1"/>
        <v>5.1560021152828386E-3</v>
      </c>
    </row>
    <row r="11" spans="1:18" x14ac:dyDescent="0.3">
      <c r="A11" s="22" t="s">
        <v>34</v>
      </c>
      <c r="B11" s="22">
        <v>2022</v>
      </c>
      <c r="C11" s="22" t="s">
        <v>43</v>
      </c>
      <c r="D11" s="22" cm="1">
        <f t="array" ref="D11">INDEX(EXP!$D:$AA,MATCH(1,(EXP!$A:$A=$A11)*(EXP!$B:$B=$B11)*(EXP!$C:$C=$C11),0),MATCH(D$5,EXP!$D$1:$AA$1,0))</f>
        <v>165.2</v>
      </c>
      <c r="E11" s="22" cm="1">
        <f t="array" ref="E11">INDEX(EXP!$D:$AA,MATCH(1,(EXP!$A:$A=$A11)*(EXP!$B:$B=$B11)*(EXP!$C:$C=$C11),0),MATCH(E$5,EXP!$D$1:$AA$1,0))</f>
        <v>210.9</v>
      </c>
      <c r="F11" s="22" cm="1">
        <f t="array" ref="F11">INDEX(EXP!$D:$AA,MATCH(1,(EXP!$A:$A=$A11)*(EXP!$B:$B=$B11)*(EXP!$C:$C=$C11),0),MATCH(F$5,EXP!$D$1:$AA$1,0))</f>
        <v>170.9</v>
      </c>
      <c r="G11" s="22" cm="1">
        <f t="array" ref="G11">INDEX(EXP!$D:$AA,MATCH(1,(EXP!$A:$A=$A11)*(EXP!$B:$B=$B11)*(EXP!$C:$C=$C11),0),MATCH(G$5,EXP!$D$1:$AA$1,0))</f>
        <v>170.9</v>
      </c>
      <c r="H11" s="22" cm="1">
        <f t="array" ref="H11">INDEX(EXP!$D:$AA,MATCH(1,(EXP!$A:$A=$A11)*(EXP!$B:$B=$B11)*(EXP!$C:$C=$C11),0),MATCH(H$5,EXP!$D$1:$AA$1,0))</f>
        <v>186.5</v>
      </c>
      <c r="I11" s="22" cm="1">
        <f t="array" ref="I11">INDEX(EXP!$D:$AA,MATCH(1,(EXP!$A:$A=$A11)*(EXP!$B:$B=$B11)*(EXP!$C:$C=$C11),0),MATCH(I$5,EXP!$D$1:$AA$1,0))</f>
        <v>163.80000000000001</v>
      </c>
      <c r="J11" s="22" cm="1">
        <f t="array" ref="J11">INDEX(EXP!$D:$AA,MATCH(1,(EXP!$A:$A=$A11)*(EXP!$B:$B=$B11)*(EXP!$C:$C=$C11),0),MATCH(J$5,EXP!$D$1:$AA$1,0))</f>
        <v>199.7</v>
      </c>
      <c r="K11" s="22" cm="1">
        <f t="array" ref="K11">INDEX(EXP!$D:$AA,MATCH(1,(EXP!$A:$A=$A11)*(EXP!$B:$B=$B11)*(EXP!$C:$C=$C11),0),MATCH(K$5,EXP!$D$1:$AA$1,0))</f>
        <v>169.8</v>
      </c>
      <c r="L11" s="22" cm="1">
        <f t="array" ref="L11">INDEX(EXP!$D:$AA,MATCH(1,(EXP!$A:$A=$A11)*(EXP!$B:$B=$B11)*(EXP!$C:$C=$C11),0),MATCH(L$5,EXP!$D$1:$AA$1,0))</f>
        <v>121.9</v>
      </c>
      <c r="M11" s="22" cm="1">
        <f t="array" ref="M11">INDEX(EXP!$D:$AA,MATCH(1,(EXP!$A:$A=$A11)*(EXP!$B:$B=$B11)*(EXP!$C:$C=$C11),0),MATCH(M$5,EXP!$D$1:$AA$1,0))</f>
        <v>199.9</v>
      </c>
      <c r="N11" s="22" cm="1">
        <f t="array" ref="N11">INDEX(EXP!$D:$AA,MATCH(1,(EXP!$A:$A=$A11)*(EXP!$B:$B=$B11)*(EXP!$C:$C=$C11),0),MATCH(N$5,EXP!$D$1:$AA$1,0))</f>
        <v>169.9</v>
      </c>
      <c r="O11" s="22" cm="1">
        <f t="array" ref="O11">INDEX(EXP!$D:$AA,MATCH(1,(EXP!$A:$A=$A11)*(EXP!$B:$B=$B11)*(EXP!$C:$C=$C11),0),MATCH(O$5,EXP!$D$1:$AA$1,0))</f>
        <v>188.3</v>
      </c>
      <c r="P11" s="22" cm="1">
        <f t="array" ref="P11">INDEX(EXP!$D:$AA,MATCH(1,(EXP!$A:$A=$A11)*(EXP!$B:$B=$B11)*(EXP!$C:$C=$C11),0),MATCH(P$5,EXP!$D$1:$AA$1,0))</f>
        <v>179.6</v>
      </c>
      <c r="Q11" s="22">
        <f t="shared" si="0"/>
        <v>2297.3000000000002</v>
      </c>
      <c r="R11" s="23">
        <f t="shared" si="1"/>
        <v>7.1901442413082953E-3</v>
      </c>
    </row>
    <row r="12" spans="1:18" x14ac:dyDescent="0.3">
      <c r="A12" s="22" t="s">
        <v>34</v>
      </c>
      <c r="B12" s="22">
        <v>2022</v>
      </c>
      <c r="C12" s="22" t="s">
        <v>45</v>
      </c>
      <c r="D12" s="22" cm="1">
        <f t="array" ref="D12">INDEX(EXP!$D:$AA,MATCH(1,(EXP!$A:$A=$A12)*(EXP!$B:$B=$B12)*(EXP!$C:$C=$C12),0),MATCH(D$5,EXP!$D$1:$AA$1,0))</f>
        <v>167.4</v>
      </c>
      <c r="E12" s="22" cm="1">
        <f t="array" ref="E12">INDEX(EXP!$D:$AA,MATCH(1,(EXP!$A:$A=$A12)*(EXP!$B:$B=$B12)*(EXP!$C:$C=$C12),0),MATCH(E$5,EXP!$D$1:$AA$1,0))</f>
        <v>209.4</v>
      </c>
      <c r="F12" s="22" cm="1">
        <f t="array" ref="F12">INDEX(EXP!$D:$AA,MATCH(1,(EXP!$A:$A=$A12)*(EXP!$B:$B=$B12)*(EXP!$C:$C=$C12),0),MATCH(F$5,EXP!$D$1:$AA$1,0))</f>
        <v>181.4</v>
      </c>
      <c r="G12" s="22" cm="1">
        <f t="array" ref="G12">INDEX(EXP!$D:$AA,MATCH(1,(EXP!$A:$A=$A12)*(EXP!$B:$B=$B12)*(EXP!$C:$C=$C12),0),MATCH(G$5,EXP!$D$1:$AA$1,0))</f>
        <v>172.3</v>
      </c>
      <c r="H12" s="22" cm="1">
        <f t="array" ref="H12">INDEX(EXP!$D:$AA,MATCH(1,(EXP!$A:$A=$A12)*(EXP!$B:$B=$B12)*(EXP!$C:$C=$C12),0),MATCH(H$5,EXP!$D$1:$AA$1,0))</f>
        <v>188.9</v>
      </c>
      <c r="I12" s="22" cm="1">
        <f t="array" ref="I12">INDEX(EXP!$D:$AA,MATCH(1,(EXP!$A:$A=$A12)*(EXP!$B:$B=$B12)*(EXP!$C:$C=$C12),0),MATCH(I$5,EXP!$D$1:$AA$1,0))</f>
        <v>160.69999999999999</v>
      </c>
      <c r="J12" s="22" cm="1">
        <f t="array" ref="J12">INDEX(EXP!$D:$AA,MATCH(1,(EXP!$A:$A=$A12)*(EXP!$B:$B=$B12)*(EXP!$C:$C=$C12),0),MATCH(J$5,EXP!$D$1:$AA$1,0))</f>
        <v>183.1</v>
      </c>
      <c r="K12" s="22" cm="1">
        <f t="array" ref="K12">INDEX(EXP!$D:$AA,MATCH(1,(EXP!$A:$A=$A12)*(EXP!$B:$B=$B12)*(EXP!$C:$C=$C12),0),MATCH(K$5,EXP!$D$1:$AA$1,0))</f>
        <v>170.5</v>
      </c>
      <c r="L12" s="22" cm="1">
        <f t="array" ref="L12">INDEX(EXP!$D:$AA,MATCH(1,(EXP!$A:$A=$A12)*(EXP!$B:$B=$B12)*(EXP!$C:$C=$C12),0),MATCH(L$5,EXP!$D$1:$AA$1,0))</f>
        <v>122.1</v>
      </c>
      <c r="M12" s="22" cm="1">
        <f t="array" ref="M12">INDEX(EXP!$D:$AA,MATCH(1,(EXP!$A:$A=$A12)*(EXP!$B:$B=$B12)*(EXP!$C:$C=$C12),0),MATCH(M$5,EXP!$D$1:$AA$1,0))</f>
        <v>202.8</v>
      </c>
      <c r="N12" s="22" cm="1">
        <f t="array" ref="N12">INDEX(EXP!$D:$AA,MATCH(1,(EXP!$A:$A=$A12)*(EXP!$B:$B=$B12)*(EXP!$C:$C=$C12),0),MATCH(N$5,EXP!$D$1:$AA$1,0))</f>
        <v>170.4</v>
      </c>
      <c r="O12" s="22" cm="1">
        <f t="array" ref="O12">INDEX(EXP!$D:$AA,MATCH(1,(EXP!$A:$A=$A12)*(EXP!$B:$B=$B12)*(EXP!$C:$C=$C12),0),MATCH(O$5,EXP!$D$1:$AA$1,0))</f>
        <v>189.5</v>
      </c>
      <c r="P12" s="22" cm="1">
        <f t="array" ref="P12">INDEX(EXP!$D:$AA,MATCH(1,(EXP!$A:$A=$A12)*(EXP!$B:$B=$B12)*(EXP!$C:$C=$C12),0),MATCH(P$5,EXP!$D$1:$AA$1,0))</f>
        <v>178.3</v>
      </c>
      <c r="Q12" s="22">
        <f t="shared" si="0"/>
        <v>2296.8000000000002</v>
      </c>
      <c r="R12" s="23">
        <f t="shared" si="1"/>
        <v>-2.1764680276846731E-4</v>
      </c>
    </row>
    <row r="13" spans="1:18" x14ac:dyDescent="0.3">
      <c r="A13" s="22" t="s">
        <v>34</v>
      </c>
      <c r="B13" s="22">
        <v>2022</v>
      </c>
      <c r="C13" s="22" t="s">
        <v>46</v>
      </c>
      <c r="D13" s="22" cm="1">
        <f t="array" ref="D13">INDEX(EXP!$D:$AA,MATCH(1,(EXP!$A:$A=$A13)*(EXP!$B:$B=$B13)*(EXP!$C:$C=$C13),0),MATCH(D$5,EXP!$D$1:$AA$1,0))</f>
        <v>169.2</v>
      </c>
      <c r="E13" s="22" cm="1">
        <f t="array" ref="E13">INDEX(EXP!$D:$AA,MATCH(1,(EXP!$A:$A=$A13)*(EXP!$B:$B=$B13)*(EXP!$C:$C=$C13),0),MATCH(E$5,EXP!$D$1:$AA$1,0))</f>
        <v>209</v>
      </c>
      <c r="F13" s="22" cm="1">
        <f t="array" ref="F13">INDEX(EXP!$D:$AA,MATCH(1,(EXP!$A:$A=$A13)*(EXP!$B:$B=$B13)*(EXP!$C:$C=$C13),0),MATCH(F$5,EXP!$D$1:$AA$1,0))</f>
        <v>190.2</v>
      </c>
      <c r="G13" s="22" cm="1">
        <f t="array" ref="G13">INDEX(EXP!$D:$AA,MATCH(1,(EXP!$A:$A=$A13)*(EXP!$B:$B=$B13)*(EXP!$C:$C=$C13),0),MATCH(G$5,EXP!$D$1:$AA$1,0))</f>
        <v>173.6</v>
      </c>
      <c r="H13" s="22" cm="1">
        <f t="array" ref="H13">INDEX(EXP!$D:$AA,MATCH(1,(EXP!$A:$A=$A13)*(EXP!$B:$B=$B13)*(EXP!$C:$C=$C13),0),MATCH(H$5,EXP!$D$1:$AA$1,0))</f>
        <v>188.5</v>
      </c>
      <c r="I13" s="22" cm="1">
        <f t="array" ref="I13">INDEX(EXP!$D:$AA,MATCH(1,(EXP!$A:$A=$A13)*(EXP!$B:$B=$B13)*(EXP!$C:$C=$C13),0),MATCH(I$5,EXP!$D$1:$AA$1,0))</f>
        <v>158</v>
      </c>
      <c r="J13" s="22" cm="1">
        <f t="array" ref="J13">INDEX(EXP!$D:$AA,MATCH(1,(EXP!$A:$A=$A13)*(EXP!$B:$B=$B13)*(EXP!$C:$C=$C13),0),MATCH(J$5,EXP!$D$1:$AA$1,0))</f>
        <v>159.9</v>
      </c>
      <c r="K13" s="22" cm="1">
        <f t="array" ref="K13">INDEX(EXP!$D:$AA,MATCH(1,(EXP!$A:$A=$A13)*(EXP!$B:$B=$B13)*(EXP!$C:$C=$C13),0),MATCH(K$5,EXP!$D$1:$AA$1,0))</f>
        <v>170.8</v>
      </c>
      <c r="L13" s="22" cm="1">
        <f t="array" ref="L13">INDEX(EXP!$D:$AA,MATCH(1,(EXP!$A:$A=$A13)*(EXP!$B:$B=$B13)*(EXP!$C:$C=$C13),0),MATCH(L$5,EXP!$D$1:$AA$1,0))</f>
        <v>121.8</v>
      </c>
      <c r="M13" s="22" cm="1">
        <f t="array" ref="M13">INDEX(EXP!$D:$AA,MATCH(1,(EXP!$A:$A=$A13)*(EXP!$B:$B=$B13)*(EXP!$C:$C=$C13),0),MATCH(M$5,EXP!$D$1:$AA$1,0))</f>
        <v>205.2</v>
      </c>
      <c r="N13" s="22" cm="1">
        <f t="array" ref="N13">INDEX(EXP!$D:$AA,MATCH(1,(EXP!$A:$A=$A13)*(EXP!$B:$B=$B13)*(EXP!$C:$C=$C13),0),MATCH(N$5,EXP!$D$1:$AA$1,0))</f>
        <v>171</v>
      </c>
      <c r="O13" s="22" cm="1">
        <f t="array" ref="O13">INDEX(EXP!$D:$AA,MATCH(1,(EXP!$A:$A=$A13)*(EXP!$B:$B=$B13)*(EXP!$C:$C=$C13),0),MATCH(O$5,EXP!$D$1:$AA$1,0))</f>
        <v>190.3</v>
      </c>
      <c r="P13" s="22" cm="1">
        <f t="array" ref="P13">INDEX(EXP!$D:$AA,MATCH(1,(EXP!$A:$A=$A13)*(EXP!$B:$B=$B13)*(EXP!$C:$C=$C13),0),MATCH(P$5,EXP!$D$1:$AA$1,0))</f>
        <v>175.9</v>
      </c>
      <c r="Q13" s="22">
        <f t="shared" si="0"/>
        <v>2283.4</v>
      </c>
      <c r="R13" s="23">
        <f t="shared" si="1"/>
        <v>-5.8342041100662182E-3</v>
      </c>
    </row>
    <row r="14" spans="1:18" x14ac:dyDescent="0.3">
      <c r="A14" s="22" t="s">
        <v>34</v>
      </c>
      <c r="B14" s="22">
        <v>2023</v>
      </c>
      <c r="C14" s="22" t="s">
        <v>31</v>
      </c>
      <c r="D14" s="22" cm="1">
        <f t="array" ref="D14">INDEX(EXP!$D:$AA,MATCH(1,(EXP!$A:$A=$A14)*(EXP!$B:$B=$B14)*(EXP!$C:$C=$C14),0),MATCH(D$5,EXP!$D$1:$AA$1,0))</f>
        <v>173.8</v>
      </c>
      <c r="E14" s="22" cm="1">
        <f t="array" ref="E14">INDEX(EXP!$D:$AA,MATCH(1,(EXP!$A:$A=$A14)*(EXP!$B:$B=$B14)*(EXP!$C:$C=$C14),0),MATCH(E$5,EXP!$D$1:$AA$1,0))</f>
        <v>210.7</v>
      </c>
      <c r="F14" s="22" cm="1">
        <f t="array" ref="F14">INDEX(EXP!$D:$AA,MATCH(1,(EXP!$A:$A=$A14)*(EXP!$B:$B=$B14)*(EXP!$C:$C=$C14),0),MATCH(F$5,EXP!$D$1:$AA$1,0))</f>
        <v>194.5</v>
      </c>
      <c r="G14" s="22" cm="1">
        <f t="array" ref="G14">INDEX(EXP!$D:$AA,MATCH(1,(EXP!$A:$A=$A14)*(EXP!$B:$B=$B14)*(EXP!$C:$C=$C14),0),MATCH(G$5,EXP!$D$1:$AA$1,0))</f>
        <v>174.6</v>
      </c>
      <c r="H14" s="22" cm="1">
        <f t="array" ref="H14">INDEX(EXP!$D:$AA,MATCH(1,(EXP!$A:$A=$A14)*(EXP!$B:$B=$B14)*(EXP!$C:$C=$C14),0),MATCH(H$5,EXP!$D$1:$AA$1,0))</f>
        <v>187.2</v>
      </c>
      <c r="I14" s="22" cm="1">
        <f t="array" ref="I14">INDEX(EXP!$D:$AA,MATCH(1,(EXP!$A:$A=$A14)*(EXP!$B:$B=$B14)*(EXP!$C:$C=$C14),0),MATCH(I$5,EXP!$D$1:$AA$1,0))</f>
        <v>158.30000000000001</v>
      </c>
      <c r="J14" s="22" cm="1">
        <f t="array" ref="J14">INDEX(EXP!$D:$AA,MATCH(1,(EXP!$A:$A=$A14)*(EXP!$B:$B=$B14)*(EXP!$C:$C=$C14),0),MATCH(J$5,EXP!$D$1:$AA$1,0))</f>
        <v>153.9</v>
      </c>
      <c r="K14" s="22" cm="1">
        <f t="array" ref="K14">INDEX(EXP!$D:$AA,MATCH(1,(EXP!$A:$A=$A14)*(EXP!$B:$B=$B14)*(EXP!$C:$C=$C14),0),MATCH(K$5,EXP!$D$1:$AA$1,0))</f>
        <v>170.9</v>
      </c>
      <c r="L14" s="22" cm="1">
        <f t="array" ref="L14">INDEX(EXP!$D:$AA,MATCH(1,(EXP!$A:$A=$A14)*(EXP!$B:$B=$B14)*(EXP!$C:$C=$C14),0),MATCH(L$5,EXP!$D$1:$AA$1,0))</f>
        <v>121.1</v>
      </c>
      <c r="M14" s="22" cm="1">
        <f t="array" ref="M14">INDEX(EXP!$D:$AA,MATCH(1,(EXP!$A:$A=$A14)*(EXP!$B:$B=$B14)*(EXP!$C:$C=$C14),0),MATCH(M$5,EXP!$D$1:$AA$1,0))</f>
        <v>208.4</v>
      </c>
      <c r="N14" s="22" cm="1">
        <f t="array" ref="N14">INDEX(EXP!$D:$AA,MATCH(1,(EXP!$A:$A=$A14)*(EXP!$B:$B=$B14)*(EXP!$C:$C=$C14),0),MATCH(N$5,EXP!$D$1:$AA$1,0))</f>
        <v>171.4</v>
      </c>
      <c r="O14" s="22" cm="1">
        <f t="array" ref="O14">INDEX(EXP!$D:$AA,MATCH(1,(EXP!$A:$A=$A14)*(EXP!$B:$B=$B14)*(EXP!$C:$C=$C14),0),MATCH(O$5,EXP!$D$1:$AA$1,0))</f>
        <v>191.2</v>
      </c>
      <c r="P14" s="22" cm="1">
        <f t="array" ref="P14">INDEX(EXP!$D:$AA,MATCH(1,(EXP!$A:$A=$A14)*(EXP!$B:$B=$B14)*(EXP!$C:$C=$C14),0),MATCH(P$5,EXP!$D$1:$AA$1,0))</f>
        <v>176.7</v>
      </c>
      <c r="Q14" s="22">
        <f t="shared" si="0"/>
        <v>2292.6999999999998</v>
      </c>
      <c r="R14" s="23">
        <f t="shared" si="1"/>
        <v>4.0728737847068961E-3</v>
      </c>
    </row>
    <row r="15" spans="1:18" x14ac:dyDescent="0.3">
      <c r="A15" s="22" t="s">
        <v>34</v>
      </c>
      <c r="B15" s="22">
        <v>2023</v>
      </c>
      <c r="C15" s="22" t="s">
        <v>35</v>
      </c>
      <c r="D15" s="22" cm="1">
        <f t="array" ref="D15">INDEX(EXP!$D:$AA,MATCH(1,(EXP!$A:$A=$A15)*(EXP!$B:$B=$B15)*(EXP!$C:$C=$C15),0),MATCH(D$5,EXP!$D$1:$AA$1,0))</f>
        <v>174.4</v>
      </c>
      <c r="E15" s="22" cm="1">
        <f t="array" ref="E15">INDEX(EXP!$D:$AA,MATCH(1,(EXP!$A:$A=$A15)*(EXP!$B:$B=$B15)*(EXP!$C:$C=$C15),0),MATCH(E$5,EXP!$D$1:$AA$1,0))</f>
        <v>207.7</v>
      </c>
      <c r="F15" s="22" cm="1">
        <f t="array" ref="F15">INDEX(EXP!$D:$AA,MATCH(1,(EXP!$A:$A=$A15)*(EXP!$B:$B=$B15)*(EXP!$C:$C=$C15),0),MATCH(F$5,EXP!$D$1:$AA$1,0))</f>
        <v>175.2</v>
      </c>
      <c r="G15" s="22" cm="1">
        <f t="array" ref="G15">INDEX(EXP!$D:$AA,MATCH(1,(EXP!$A:$A=$A15)*(EXP!$B:$B=$B15)*(EXP!$C:$C=$C15),0),MATCH(G$5,EXP!$D$1:$AA$1,0))</f>
        <v>177.3</v>
      </c>
      <c r="H15" s="22" cm="1">
        <f t="array" ref="H15">INDEX(EXP!$D:$AA,MATCH(1,(EXP!$A:$A=$A15)*(EXP!$B:$B=$B15)*(EXP!$C:$C=$C15),0),MATCH(H$5,EXP!$D$1:$AA$1,0))</f>
        <v>179.3</v>
      </c>
      <c r="I15" s="22" cm="1">
        <f t="array" ref="I15">INDEX(EXP!$D:$AA,MATCH(1,(EXP!$A:$A=$A15)*(EXP!$B:$B=$B15)*(EXP!$C:$C=$C15),0),MATCH(I$5,EXP!$D$1:$AA$1,0))</f>
        <v>169.5</v>
      </c>
      <c r="J15" s="22" cm="1">
        <f t="array" ref="J15">INDEX(EXP!$D:$AA,MATCH(1,(EXP!$A:$A=$A15)*(EXP!$B:$B=$B15)*(EXP!$C:$C=$C15),0),MATCH(J$5,EXP!$D$1:$AA$1,0))</f>
        <v>152.69999999999999</v>
      </c>
      <c r="K15" s="22" cm="1">
        <f t="array" ref="K15">INDEX(EXP!$D:$AA,MATCH(1,(EXP!$A:$A=$A15)*(EXP!$B:$B=$B15)*(EXP!$C:$C=$C15),0),MATCH(K$5,EXP!$D$1:$AA$1,0))</f>
        <v>171</v>
      </c>
      <c r="L15" s="22" cm="1">
        <f t="array" ref="L15">INDEX(EXP!$D:$AA,MATCH(1,(EXP!$A:$A=$A15)*(EXP!$B:$B=$B15)*(EXP!$C:$C=$C15),0),MATCH(L$5,EXP!$D$1:$AA$1,0))</f>
        <v>120</v>
      </c>
      <c r="M15" s="22" cm="1">
        <f t="array" ref="M15">INDEX(EXP!$D:$AA,MATCH(1,(EXP!$A:$A=$A15)*(EXP!$B:$B=$B15)*(EXP!$C:$C=$C15),0),MATCH(M$5,EXP!$D$1:$AA$1,0))</f>
        <v>209.7</v>
      </c>
      <c r="N15" s="22" cm="1">
        <f t="array" ref="N15">INDEX(EXP!$D:$AA,MATCH(1,(EXP!$A:$A=$A15)*(EXP!$B:$B=$B15)*(EXP!$C:$C=$C15),0),MATCH(N$5,EXP!$D$1:$AA$1,0))</f>
        <v>172.3</v>
      </c>
      <c r="O15" s="22" cm="1">
        <f t="array" ref="O15">INDEX(EXP!$D:$AA,MATCH(1,(EXP!$A:$A=$A15)*(EXP!$B:$B=$B15)*(EXP!$C:$C=$C15),0),MATCH(O$5,EXP!$D$1:$AA$1,0))</f>
        <v>193</v>
      </c>
      <c r="P15" s="22" cm="1">
        <f t="array" ref="P15">INDEX(EXP!$D:$AA,MATCH(1,(EXP!$A:$A=$A15)*(EXP!$B:$B=$B15)*(EXP!$C:$C=$C15),0),MATCH(P$5,EXP!$D$1:$AA$1,0))</f>
        <v>177</v>
      </c>
      <c r="Q15" s="22">
        <f t="shared" si="0"/>
        <v>2279.1</v>
      </c>
      <c r="R15" s="23">
        <f t="shared" si="1"/>
        <v>-5.9318707201116193E-3</v>
      </c>
    </row>
    <row r="16" spans="1:18" x14ac:dyDescent="0.3">
      <c r="A16" s="22" t="s">
        <v>34</v>
      </c>
      <c r="B16" s="22">
        <v>2023</v>
      </c>
      <c r="C16" s="22" t="s">
        <v>36</v>
      </c>
      <c r="D16" s="22" cm="1">
        <f t="array" ref="D16">INDEX(EXP!$D:$AA,MATCH(1,(EXP!$A:$A=$A16)*(EXP!$B:$B=$B16)*(EXP!$C:$C=$C16),0),MATCH(D$5,EXP!$D$1:$AA$1,0))</f>
        <v>174.4</v>
      </c>
      <c r="E16" s="22" cm="1">
        <f t="array" ref="E16">INDEX(EXP!$D:$AA,MATCH(1,(EXP!$A:$A=$A16)*(EXP!$B:$B=$B16)*(EXP!$C:$C=$C16),0),MATCH(E$5,EXP!$D$1:$AA$1,0))</f>
        <v>207.7</v>
      </c>
      <c r="F16" s="22" cm="1">
        <f t="array" ref="F16">INDEX(EXP!$D:$AA,MATCH(1,(EXP!$A:$A=$A16)*(EXP!$B:$B=$B16)*(EXP!$C:$C=$C16),0),MATCH(F$5,EXP!$D$1:$AA$1,0))</f>
        <v>175.2</v>
      </c>
      <c r="G16" s="22" cm="1">
        <f t="array" ref="G16">INDEX(EXP!$D:$AA,MATCH(1,(EXP!$A:$A=$A16)*(EXP!$B:$B=$B16)*(EXP!$C:$C=$C16),0),MATCH(G$5,EXP!$D$1:$AA$1,0))</f>
        <v>177.3</v>
      </c>
      <c r="H16" s="22" cm="1">
        <f t="array" ref="H16">INDEX(EXP!$D:$AA,MATCH(1,(EXP!$A:$A=$A16)*(EXP!$B:$B=$B16)*(EXP!$C:$C=$C16),0),MATCH(H$5,EXP!$D$1:$AA$1,0))</f>
        <v>179.2</v>
      </c>
      <c r="I16" s="22" cm="1">
        <f t="array" ref="I16">INDEX(EXP!$D:$AA,MATCH(1,(EXP!$A:$A=$A16)*(EXP!$B:$B=$B16)*(EXP!$C:$C=$C16),0),MATCH(I$5,EXP!$D$1:$AA$1,0))</f>
        <v>169.5</v>
      </c>
      <c r="J16" s="22" cm="1">
        <f t="array" ref="J16">INDEX(EXP!$D:$AA,MATCH(1,(EXP!$A:$A=$A16)*(EXP!$B:$B=$B16)*(EXP!$C:$C=$C16),0),MATCH(J$5,EXP!$D$1:$AA$1,0))</f>
        <v>152.80000000000001</v>
      </c>
      <c r="K16" s="22" cm="1">
        <f t="array" ref="K16">INDEX(EXP!$D:$AA,MATCH(1,(EXP!$A:$A=$A16)*(EXP!$B:$B=$B16)*(EXP!$C:$C=$C16),0),MATCH(K$5,EXP!$D$1:$AA$1,0))</f>
        <v>171.1</v>
      </c>
      <c r="L16" s="22" cm="1">
        <f t="array" ref="L16">INDEX(EXP!$D:$AA,MATCH(1,(EXP!$A:$A=$A16)*(EXP!$B:$B=$B16)*(EXP!$C:$C=$C16),0),MATCH(L$5,EXP!$D$1:$AA$1,0))</f>
        <v>120</v>
      </c>
      <c r="M16" s="22" cm="1">
        <f t="array" ref="M16">INDEX(EXP!$D:$AA,MATCH(1,(EXP!$A:$A=$A16)*(EXP!$B:$B=$B16)*(EXP!$C:$C=$C16),0),MATCH(M$5,EXP!$D$1:$AA$1,0))</f>
        <v>209.7</v>
      </c>
      <c r="N16" s="22" cm="1">
        <f t="array" ref="N16">INDEX(EXP!$D:$AA,MATCH(1,(EXP!$A:$A=$A16)*(EXP!$B:$B=$B16)*(EXP!$C:$C=$C16),0),MATCH(N$5,EXP!$D$1:$AA$1,0))</f>
        <v>172.3</v>
      </c>
      <c r="O16" s="22" cm="1">
        <f t="array" ref="O16">INDEX(EXP!$D:$AA,MATCH(1,(EXP!$A:$A=$A16)*(EXP!$B:$B=$B16)*(EXP!$C:$C=$C16),0),MATCH(O$5,EXP!$D$1:$AA$1,0))</f>
        <v>193</v>
      </c>
      <c r="P16" s="22" cm="1">
        <f t="array" ref="P16">INDEX(EXP!$D:$AA,MATCH(1,(EXP!$A:$A=$A16)*(EXP!$B:$B=$B16)*(EXP!$C:$C=$C16),0),MATCH(P$5,EXP!$D$1:$AA$1,0))</f>
        <v>177</v>
      </c>
      <c r="Q16" s="22">
        <f t="shared" si="0"/>
        <v>2279.1999999999998</v>
      </c>
      <c r="R16" s="23">
        <f t="shared" si="1"/>
        <v>4.3876968978943027E-5</v>
      </c>
    </row>
    <row r="17" spans="1:18" x14ac:dyDescent="0.3">
      <c r="A17" s="22" t="s">
        <v>34</v>
      </c>
      <c r="B17" s="22">
        <v>2023</v>
      </c>
      <c r="C17" s="22" t="s">
        <v>37</v>
      </c>
      <c r="D17" s="22" cm="1">
        <f t="array" ref="D17">INDEX(EXP!$D:$AA,MATCH(1,(EXP!$A:$A=$A17)*(EXP!$B:$B=$B17)*(EXP!$C:$C=$C17),0),MATCH(D$5,EXP!$D$1:$AA$1,0))</f>
        <v>173.8</v>
      </c>
      <c r="E17" s="22" cm="1">
        <f t="array" ref="E17">INDEX(EXP!$D:$AA,MATCH(1,(EXP!$A:$A=$A17)*(EXP!$B:$B=$B17)*(EXP!$C:$C=$C17),0),MATCH(E$5,EXP!$D$1:$AA$1,0))</f>
        <v>209.3</v>
      </c>
      <c r="F17" s="22" cm="1">
        <f t="array" ref="F17">INDEX(EXP!$D:$AA,MATCH(1,(EXP!$A:$A=$A17)*(EXP!$B:$B=$B17)*(EXP!$C:$C=$C17),0),MATCH(F$5,EXP!$D$1:$AA$1,0))</f>
        <v>169.6</v>
      </c>
      <c r="G17" s="22" cm="1">
        <f t="array" ref="G17">INDEX(EXP!$D:$AA,MATCH(1,(EXP!$A:$A=$A17)*(EXP!$B:$B=$B17)*(EXP!$C:$C=$C17),0),MATCH(G$5,EXP!$D$1:$AA$1,0))</f>
        <v>178.4</v>
      </c>
      <c r="H17" s="22" cm="1">
        <f t="array" ref="H17">INDEX(EXP!$D:$AA,MATCH(1,(EXP!$A:$A=$A17)*(EXP!$B:$B=$B17)*(EXP!$C:$C=$C17),0),MATCH(H$5,EXP!$D$1:$AA$1,0))</f>
        <v>174.9</v>
      </c>
      <c r="I17" s="22" cm="1">
        <f t="array" ref="I17">INDEX(EXP!$D:$AA,MATCH(1,(EXP!$A:$A=$A17)*(EXP!$B:$B=$B17)*(EXP!$C:$C=$C17),0),MATCH(I$5,EXP!$D$1:$AA$1,0))</f>
        <v>176.3</v>
      </c>
      <c r="J17" s="22" cm="1">
        <f t="array" ref="J17">INDEX(EXP!$D:$AA,MATCH(1,(EXP!$A:$A=$A17)*(EXP!$B:$B=$B17)*(EXP!$C:$C=$C17),0),MATCH(J$5,EXP!$D$1:$AA$1,0))</f>
        <v>155.4</v>
      </c>
      <c r="K17" s="22" cm="1">
        <f t="array" ref="K17">INDEX(EXP!$D:$AA,MATCH(1,(EXP!$A:$A=$A17)*(EXP!$B:$B=$B17)*(EXP!$C:$C=$C17),0),MATCH(K$5,EXP!$D$1:$AA$1,0))</f>
        <v>173.4</v>
      </c>
      <c r="L17" s="22" cm="1">
        <f t="array" ref="L17">INDEX(EXP!$D:$AA,MATCH(1,(EXP!$A:$A=$A17)*(EXP!$B:$B=$B17)*(EXP!$C:$C=$C17),0),MATCH(L$5,EXP!$D$1:$AA$1,0))</f>
        <v>121.3</v>
      </c>
      <c r="M17" s="22" cm="1">
        <f t="array" ref="M17">INDEX(EXP!$D:$AA,MATCH(1,(EXP!$A:$A=$A17)*(EXP!$B:$B=$B17)*(EXP!$C:$C=$C17),0),MATCH(M$5,EXP!$D$1:$AA$1,0))</f>
        <v>212.9</v>
      </c>
      <c r="N17" s="22" cm="1">
        <f t="array" ref="N17">INDEX(EXP!$D:$AA,MATCH(1,(EXP!$A:$A=$A17)*(EXP!$B:$B=$B17)*(EXP!$C:$C=$C17),0),MATCH(N$5,EXP!$D$1:$AA$1,0))</f>
        <v>172.9</v>
      </c>
      <c r="O17" s="22" cm="1">
        <f t="array" ref="O17">INDEX(EXP!$D:$AA,MATCH(1,(EXP!$A:$A=$A17)*(EXP!$B:$B=$B17)*(EXP!$C:$C=$C17),0),MATCH(O$5,EXP!$D$1:$AA$1,0))</f>
        <v>193.5</v>
      </c>
      <c r="P17" s="22" cm="1">
        <f t="array" ref="P17">INDEX(EXP!$D:$AA,MATCH(1,(EXP!$A:$A=$A17)*(EXP!$B:$B=$B17)*(EXP!$C:$C=$C17),0),MATCH(P$5,EXP!$D$1:$AA$1,0))</f>
        <v>177.9</v>
      </c>
      <c r="Q17" s="22">
        <f t="shared" si="0"/>
        <v>2289.6000000000004</v>
      </c>
      <c r="R17" s="23">
        <f t="shared" si="1"/>
        <v>4.5630045630048032E-3</v>
      </c>
    </row>
    <row r="18" spans="1:18" x14ac:dyDescent="0.3">
      <c r="A18" s="22" t="s">
        <v>34</v>
      </c>
      <c r="B18" s="22">
        <v>2023</v>
      </c>
      <c r="C18" s="22" t="s">
        <v>38</v>
      </c>
      <c r="D18" s="22" cm="1">
        <f t="array" ref="D18">INDEX(EXP!$D:$AA,MATCH(1,(EXP!$A:$A=$A18)*(EXP!$B:$B=$B18)*(EXP!$C:$C=$C18),0),MATCH(D$5,EXP!$D$1:$AA$1,0))</f>
        <v>173.7</v>
      </c>
      <c r="E18" s="22" cm="1">
        <f t="array" ref="E18">INDEX(EXP!$D:$AA,MATCH(1,(EXP!$A:$A=$A18)*(EXP!$B:$B=$B18)*(EXP!$C:$C=$C18),0),MATCH(E$5,EXP!$D$1:$AA$1,0))</f>
        <v>214.3</v>
      </c>
      <c r="F18" s="22" cm="1">
        <f t="array" ref="F18">INDEX(EXP!$D:$AA,MATCH(1,(EXP!$A:$A=$A18)*(EXP!$B:$B=$B18)*(EXP!$C:$C=$C18),0),MATCH(F$5,EXP!$D$1:$AA$1,0))</f>
        <v>173.2</v>
      </c>
      <c r="G18" s="22" cm="1">
        <f t="array" ref="G18">INDEX(EXP!$D:$AA,MATCH(1,(EXP!$A:$A=$A18)*(EXP!$B:$B=$B18)*(EXP!$C:$C=$C18),0),MATCH(G$5,EXP!$D$1:$AA$1,0))</f>
        <v>179.5</v>
      </c>
      <c r="H18" s="22" cm="1">
        <f t="array" ref="H18">INDEX(EXP!$D:$AA,MATCH(1,(EXP!$A:$A=$A18)*(EXP!$B:$B=$B18)*(EXP!$C:$C=$C18),0),MATCH(H$5,EXP!$D$1:$AA$1,0))</f>
        <v>170</v>
      </c>
      <c r="I18" s="22" cm="1">
        <f t="array" ref="I18">INDEX(EXP!$D:$AA,MATCH(1,(EXP!$A:$A=$A18)*(EXP!$B:$B=$B18)*(EXP!$C:$C=$C18),0),MATCH(I$5,EXP!$D$1:$AA$1,0))</f>
        <v>172.2</v>
      </c>
      <c r="J18" s="22" cm="1">
        <f t="array" ref="J18">INDEX(EXP!$D:$AA,MATCH(1,(EXP!$A:$A=$A18)*(EXP!$B:$B=$B18)*(EXP!$C:$C=$C18),0),MATCH(J$5,EXP!$D$1:$AA$1,0))</f>
        <v>161</v>
      </c>
      <c r="K18" s="22" cm="1">
        <f t="array" ref="K18">INDEX(EXP!$D:$AA,MATCH(1,(EXP!$A:$A=$A18)*(EXP!$B:$B=$B18)*(EXP!$C:$C=$C18),0),MATCH(K$5,EXP!$D$1:$AA$1,0))</f>
        <v>175.6</v>
      </c>
      <c r="L18" s="22" cm="1">
        <f t="array" ref="L18">INDEX(EXP!$D:$AA,MATCH(1,(EXP!$A:$A=$A18)*(EXP!$B:$B=$B18)*(EXP!$C:$C=$C18),0),MATCH(L$5,EXP!$D$1:$AA$1,0))</f>
        <v>122.7</v>
      </c>
      <c r="M18" s="22" cm="1">
        <f t="array" ref="M18">INDEX(EXP!$D:$AA,MATCH(1,(EXP!$A:$A=$A18)*(EXP!$B:$B=$B18)*(EXP!$C:$C=$C18),0),MATCH(M$5,EXP!$D$1:$AA$1,0))</f>
        <v>218</v>
      </c>
      <c r="N18" s="22" cm="1">
        <f t="array" ref="N18">INDEX(EXP!$D:$AA,MATCH(1,(EXP!$A:$A=$A18)*(EXP!$B:$B=$B18)*(EXP!$C:$C=$C18),0),MATCH(N$5,EXP!$D$1:$AA$1,0))</f>
        <v>173.4</v>
      </c>
      <c r="O18" s="22" cm="1">
        <f t="array" ref="O18">INDEX(EXP!$D:$AA,MATCH(1,(EXP!$A:$A=$A18)*(EXP!$B:$B=$B18)*(EXP!$C:$C=$C18),0),MATCH(O$5,EXP!$D$1:$AA$1,0))</f>
        <v>194.2</v>
      </c>
      <c r="P18" s="22" cm="1">
        <f t="array" ref="P18">INDEX(EXP!$D:$AA,MATCH(1,(EXP!$A:$A=$A18)*(EXP!$B:$B=$B18)*(EXP!$C:$C=$C18),0),MATCH(P$5,EXP!$D$1:$AA$1,0))</f>
        <v>179.1</v>
      </c>
      <c r="Q18" s="22">
        <f t="shared" si="0"/>
        <v>2306.9</v>
      </c>
      <c r="R18" s="23">
        <f>(Q18-Q17)/Q17</f>
        <v>7.5559049615652185E-3</v>
      </c>
    </row>
    <row r="19" spans="1:18" s="29" customForma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8"/>
    </row>
    <row r="20" spans="1:18" x14ac:dyDescent="0.3">
      <c r="A20" s="48" t="s">
        <v>83</v>
      </c>
      <c r="B20" s="48" t="s">
        <v>85</v>
      </c>
    </row>
    <row r="21" spans="1:18" x14ac:dyDescent="0.3">
      <c r="A21" s="36">
        <v>2022</v>
      </c>
      <c r="B21" s="49">
        <v>1.9792083330263804E-2</v>
      </c>
    </row>
    <row r="22" spans="1:18" x14ac:dyDescent="0.3">
      <c r="A22" s="36" t="s">
        <v>38</v>
      </c>
      <c r="B22" s="49"/>
    </row>
    <row r="23" spans="1:18" x14ac:dyDescent="0.3">
      <c r="A23" s="36" t="s">
        <v>39</v>
      </c>
      <c r="B23" s="49">
        <v>1.0272901871454526E-2</v>
      </c>
    </row>
    <row r="24" spans="1:18" x14ac:dyDescent="0.3">
      <c r="A24" s="36" t="s">
        <v>40</v>
      </c>
      <c r="B24" s="49">
        <v>1.9452672531942573E-3</v>
      </c>
    </row>
    <row r="25" spans="1:18" x14ac:dyDescent="0.3">
      <c r="A25" s="36" t="s">
        <v>41</v>
      </c>
      <c r="B25" s="49">
        <v>1.279618761858576E-3</v>
      </c>
    </row>
    <row r="26" spans="1:18" x14ac:dyDescent="0.3">
      <c r="A26" s="36" t="s">
        <v>42</v>
      </c>
      <c r="B26" s="49">
        <v>5.1560021152828386E-3</v>
      </c>
    </row>
    <row r="27" spans="1:18" x14ac:dyDescent="0.3">
      <c r="A27" s="36" t="s">
        <v>43</v>
      </c>
      <c r="B27" s="49">
        <v>7.1901442413082953E-3</v>
      </c>
    </row>
    <row r="28" spans="1:18" x14ac:dyDescent="0.3">
      <c r="A28" s="36" t="s">
        <v>45</v>
      </c>
      <c r="B28" s="49">
        <v>-2.1764680276846731E-4</v>
      </c>
    </row>
    <row r="29" spans="1:18" x14ac:dyDescent="0.3">
      <c r="A29" s="36" t="s">
        <v>46</v>
      </c>
      <c r="B29" s="49">
        <v>-5.8342041100662182E-3</v>
      </c>
    </row>
    <row r="30" spans="1:18" x14ac:dyDescent="0.3">
      <c r="A30" s="36">
        <v>2023</v>
      </c>
      <c r="B30" s="49">
        <v>1.0303789558144242E-2</v>
      </c>
    </row>
    <row r="31" spans="1:18" x14ac:dyDescent="0.3">
      <c r="A31" s="36" t="s">
        <v>31</v>
      </c>
      <c r="B31" s="49">
        <v>4.0728737847068961E-3</v>
      </c>
    </row>
    <row r="32" spans="1:18" x14ac:dyDescent="0.3">
      <c r="A32" s="36" t="s">
        <v>35</v>
      </c>
      <c r="B32" s="49">
        <v>-5.9318707201116193E-3</v>
      </c>
    </row>
    <row r="33" spans="1:2" x14ac:dyDescent="0.3">
      <c r="A33" s="36" t="s">
        <v>36</v>
      </c>
      <c r="B33" s="49">
        <v>4.3876968978943027E-5</v>
      </c>
    </row>
    <row r="34" spans="1:2" x14ac:dyDescent="0.3">
      <c r="A34" s="36" t="s">
        <v>37</v>
      </c>
      <c r="B34" s="49">
        <v>4.5630045630048032E-3</v>
      </c>
    </row>
    <row r="35" spans="1:2" x14ac:dyDescent="0.3">
      <c r="A35" s="36" t="s">
        <v>38</v>
      </c>
      <c r="B35" s="49">
        <v>7.5559049615652185E-3</v>
      </c>
    </row>
    <row r="36" spans="1:2" x14ac:dyDescent="0.3">
      <c r="A36" s="48" t="s">
        <v>84</v>
      </c>
      <c r="B36" s="50">
        <v>3.0095872888408044E-2</v>
      </c>
    </row>
    <row r="38" spans="1:2" s="63" customFormat="1" ht="15.6" x14ac:dyDescent="0.3">
      <c r="A38" s="62" t="s">
        <v>97</v>
      </c>
    </row>
  </sheetData>
  <mergeCells count="1">
    <mergeCell ref="A1:M3"/>
  </mergeCells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A917-22D8-4409-B8DF-ECA5908C4E18}">
  <sheetPr>
    <tabColor rgb="FF92D050"/>
  </sheetPr>
  <dimension ref="A1:T33"/>
  <sheetViews>
    <sheetView showGridLines="0" workbookViewId="0">
      <selection activeCell="D7" sqref="D7"/>
    </sheetView>
  </sheetViews>
  <sheetFormatPr defaultRowHeight="14.4" x14ac:dyDescent="0.3"/>
  <cols>
    <col min="1" max="1" width="32.33203125" bestFit="1" customWidth="1"/>
    <col min="2" max="2" width="26.77734375" bestFit="1" customWidth="1"/>
    <col min="3" max="3" width="15.109375" bestFit="1" customWidth="1"/>
    <col min="4" max="4" width="38.21875" bestFit="1" customWidth="1"/>
  </cols>
  <sheetData>
    <row r="1" spans="1:20" x14ac:dyDescent="0.3">
      <c r="A1" s="93" t="s">
        <v>102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</row>
    <row r="2" spans="1:20" x14ac:dyDescent="0.3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</row>
    <row r="3" spans="1:20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</row>
    <row r="4" spans="1:20" x14ac:dyDescent="0.3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</row>
    <row r="6" spans="1:20" ht="25.8" x14ac:dyDescent="0.3">
      <c r="A6" s="30" t="s">
        <v>15</v>
      </c>
      <c r="B6" s="31">
        <v>44682</v>
      </c>
      <c r="C6" s="31">
        <v>45047</v>
      </c>
      <c r="D6" s="30" t="s">
        <v>86</v>
      </c>
      <c r="E6" s="61" t="s">
        <v>98</v>
      </c>
    </row>
    <row r="7" spans="1:20" ht="21" x14ac:dyDescent="0.3">
      <c r="A7" s="33" t="s">
        <v>3</v>
      </c>
      <c r="B7" s="34" cm="1">
        <f t="array" ref="B7">INDEX(EXP!$D:$AA,MATCH(1,(EXP!$A:$A="Rural+Urban")*(EXP!$B:$B=YEAR(B$6))*(EXP!$C:$C=TEXT(B$6,"mmmm")),0),MATCH($A7,EXP!$D$1:$AA$1,0))</f>
        <v>154.1</v>
      </c>
      <c r="C7" s="34" cm="1">
        <f t="array" ref="C7">INDEX(EXP!$D:$AA,MATCH(1,(EXP!$A:$A="Rural+Urban")*(EXP!$B:$B=YEAR(C$6))*(EXP!$C:$C=TEXT(C$6,"mmmm")),0),MATCH($A7,EXP!$D$1:$AA$1,0))</f>
        <v>173.7</v>
      </c>
      <c r="D7" s="32">
        <f>(C7-B7)/B7</f>
        <v>0.12719013627514597</v>
      </c>
    </row>
    <row r="8" spans="1:20" ht="21" x14ac:dyDescent="0.3">
      <c r="A8" s="33" t="s">
        <v>4</v>
      </c>
      <c r="B8" s="34" cm="1">
        <f t="array" ref="B8">INDEX(EXP!$D:$AA,MATCH(1,(EXP!$A:$A="Rural+Urban")*(EXP!$B:$B=YEAR(B$6))*(EXP!$C:$C=TEXT(B$6,"mmmm")),0),MATCH($A8,EXP!$D$1:$AA$1,0))</f>
        <v>217</v>
      </c>
      <c r="C8" s="34" cm="1">
        <f t="array" ref="C8">INDEX(EXP!$D:$AA,MATCH(1,(EXP!$A:$A="Rural+Urban")*(EXP!$B:$B=YEAR(C$6))*(EXP!$C:$C=TEXT(C$6,"mmmm")),0),MATCH($A8,EXP!$D$1:$AA$1,0))</f>
        <v>214.3</v>
      </c>
      <c r="D8" s="32">
        <f t="shared" ref="D8:D18" si="0">(C8-B8)/B8</f>
        <v>-1.2442396313364003E-2</v>
      </c>
    </row>
    <row r="9" spans="1:20" ht="21" x14ac:dyDescent="0.3">
      <c r="A9" s="33" t="s">
        <v>5</v>
      </c>
      <c r="B9" s="34" cm="1">
        <f t="array" ref="B9">INDEX(EXP!$D:$AA,MATCH(1,(EXP!$A:$A="Rural+Urban")*(EXP!$B:$B=YEAR(B$6))*(EXP!$C:$C=TEXT(B$6,"mmmm")),0),MATCH($A9,EXP!$D$1:$AA$1,0))</f>
        <v>162.4</v>
      </c>
      <c r="C9" s="34" cm="1">
        <f t="array" ref="C9">INDEX(EXP!$D:$AA,MATCH(1,(EXP!$A:$A="Rural+Urban")*(EXP!$B:$B=YEAR(C$6))*(EXP!$C:$C=TEXT(C$6,"mmmm")),0),MATCH($A9,EXP!$D$1:$AA$1,0))</f>
        <v>173.2</v>
      </c>
      <c r="D9" s="32">
        <f>(C9-B9)/B9</f>
        <v>6.6502463054187083E-2</v>
      </c>
    </row>
    <row r="10" spans="1:20" ht="21" x14ac:dyDescent="0.3">
      <c r="A10" s="33" t="s">
        <v>6</v>
      </c>
      <c r="B10" s="34" cm="1">
        <f t="array" ref="B10">INDEX(EXP!$D:$AA,MATCH(1,(EXP!$A:$A="Rural+Urban")*(EXP!$B:$B=YEAR(B$6))*(EXP!$C:$C=TEXT(B$6,"mmmm")),0),MATCH($A10,EXP!$D$1:$AA$1,0))</f>
        <v>164.9</v>
      </c>
      <c r="C10" s="34" cm="1">
        <f t="array" ref="C10">INDEX(EXP!$D:$AA,MATCH(1,(EXP!$A:$A="Rural+Urban")*(EXP!$B:$B=YEAR(C$6))*(EXP!$C:$C=TEXT(C$6,"mmmm")),0),MATCH($A10,EXP!$D$1:$AA$1,0))</f>
        <v>179.5</v>
      </c>
      <c r="D10" s="32">
        <f t="shared" si="0"/>
        <v>8.853850818677983E-2</v>
      </c>
    </row>
    <row r="11" spans="1:20" ht="21" x14ac:dyDescent="0.3">
      <c r="A11" s="33" t="s">
        <v>7</v>
      </c>
      <c r="B11" s="34" cm="1">
        <f t="array" ref="B11">INDEX(EXP!$D:$AA,MATCH(1,(EXP!$A:$A="Rural+Urban")*(EXP!$B:$B=YEAR(B$6))*(EXP!$C:$C=TEXT(B$6,"mmmm")),0),MATCH($A11,EXP!$D$1:$AA$1,0))</f>
        <v>202.4</v>
      </c>
      <c r="C11" s="34" cm="1">
        <f t="array" ref="C11">INDEX(EXP!$D:$AA,MATCH(1,(EXP!$A:$A="Rural+Urban")*(EXP!$B:$B=YEAR(C$6))*(EXP!$C:$C=TEXT(C$6,"mmmm")),0),MATCH($A11,EXP!$D$1:$AA$1,0))</f>
        <v>170</v>
      </c>
      <c r="D11" s="32">
        <f t="shared" si="0"/>
        <v>-0.16007905138339923</v>
      </c>
    </row>
    <row r="12" spans="1:20" ht="21" x14ac:dyDescent="0.3">
      <c r="A12" s="33" t="s">
        <v>8</v>
      </c>
      <c r="B12" s="34" cm="1">
        <f t="array" ref="B12">INDEX(EXP!$D:$AA,MATCH(1,(EXP!$A:$A="Rural+Urban")*(EXP!$B:$B=YEAR(B$6))*(EXP!$C:$C=TEXT(B$6,"mmmm")),0),MATCH($A12,EXP!$D$1:$AA$1,0))</f>
        <v>171</v>
      </c>
      <c r="C12" s="34" cm="1">
        <f t="array" ref="C12">INDEX(EXP!$D:$AA,MATCH(1,(EXP!$A:$A="Rural+Urban")*(EXP!$B:$B=YEAR(C$6))*(EXP!$C:$C=TEXT(C$6,"mmmm")),0),MATCH($A12,EXP!$D$1:$AA$1,0))</f>
        <v>172.2</v>
      </c>
      <c r="D12" s="32">
        <f t="shared" si="0"/>
        <v>7.0175438596490562E-3</v>
      </c>
    </row>
    <row r="13" spans="1:20" ht="21" x14ac:dyDescent="0.3">
      <c r="A13" s="33" t="s">
        <v>9</v>
      </c>
      <c r="B13" s="34" cm="1">
        <f t="array" ref="B13">INDEX(EXP!$D:$AA,MATCH(1,(EXP!$A:$A="Rural+Urban")*(EXP!$B:$B=YEAR(B$6))*(EXP!$C:$C=TEXT(B$6,"mmmm")),0),MATCH($A13,EXP!$D$1:$AA$1,0))</f>
        <v>174.9</v>
      </c>
      <c r="C13" s="34" cm="1">
        <f t="array" ref="C13">INDEX(EXP!$D:$AA,MATCH(1,(EXP!$A:$A="Rural+Urban")*(EXP!$B:$B=YEAR(C$6))*(EXP!$C:$C=TEXT(C$6,"mmmm")),0),MATCH($A13,EXP!$D$1:$AA$1,0))</f>
        <v>161</v>
      </c>
      <c r="D13" s="32">
        <f t="shared" si="0"/>
        <v>-7.9473985134362518E-2</v>
      </c>
    </row>
    <row r="14" spans="1:20" ht="21" x14ac:dyDescent="0.3">
      <c r="A14" s="33" t="s">
        <v>10</v>
      </c>
      <c r="B14" s="34" cm="1">
        <f t="array" ref="B14">INDEX(EXP!$D:$AA,MATCH(1,(EXP!$A:$A="Rural+Urban")*(EXP!$B:$B=YEAR(B$6))*(EXP!$C:$C=TEXT(B$6,"mmmm")),0),MATCH($A14,EXP!$D$1:$AA$1,0))</f>
        <v>164.7</v>
      </c>
      <c r="C14" s="34" cm="1">
        <f t="array" ref="C14">INDEX(EXP!$D:$AA,MATCH(1,(EXP!$A:$A="Rural+Urban")*(EXP!$B:$B=YEAR(C$6))*(EXP!$C:$C=TEXT(C$6,"mmmm")),0),MATCH($A14,EXP!$D$1:$AA$1,0))</f>
        <v>175.6</v>
      </c>
      <c r="D14" s="32">
        <f t="shared" si="0"/>
        <v>6.6180935033394089E-2</v>
      </c>
    </row>
    <row r="15" spans="1:20" ht="21" x14ac:dyDescent="0.3">
      <c r="A15" s="33" t="s">
        <v>11</v>
      </c>
      <c r="B15" s="34" cm="1">
        <f t="array" ref="B15">INDEX(EXP!$D:$AA,MATCH(1,(EXP!$A:$A="Rural+Urban")*(EXP!$B:$B=YEAR(B$6))*(EXP!$C:$C=TEXT(B$6,"mmmm")),0),MATCH($A15,EXP!$D$1:$AA$1,0))</f>
        <v>119.7</v>
      </c>
      <c r="C15" s="34" cm="1">
        <f t="array" ref="C15">INDEX(EXP!$D:$AA,MATCH(1,(EXP!$A:$A="Rural+Urban")*(EXP!$B:$B=YEAR(C$6))*(EXP!$C:$C=TEXT(C$6,"mmmm")),0),MATCH($A15,EXP!$D$1:$AA$1,0))</f>
        <v>122.7</v>
      </c>
      <c r="D15" s="32">
        <f t="shared" si="0"/>
        <v>2.5062656641604009E-2</v>
      </c>
    </row>
    <row r="16" spans="1:20" ht="21" x14ac:dyDescent="0.3">
      <c r="A16" s="33" t="s">
        <v>12</v>
      </c>
      <c r="B16" s="34" cm="1">
        <f t="array" ref="B16">INDEX(EXP!$D:$AA,MATCH(1,(EXP!$A:$A="Rural+Urban")*(EXP!$B:$B=YEAR(B$6))*(EXP!$C:$C=TEXT(B$6,"mmmm")),0),MATCH($A16,EXP!$D$1:$AA$1,0))</f>
        <v>184.9</v>
      </c>
      <c r="C16" s="34" cm="1">
        <f t="array" ref="C16">INDEX(EXP!$D:$AA,MATCH(1,(EXP!$A:$A="Rural+Urban")*(EXP!$B:$B=YEAR(C$6))*(EXP!$C:$C=TEXT(C$6,"mmmm")),0),MATCH($A16,EXP!$D$1:$AA$1,0))</f>
        <v>218</v>
      </c>
      <c r="D16" s="32">
        <f t="shared" si="0"/>
        <v>0.1790156841535965</v>
      </c>
    </row>
    <row r="17" spans="1:4" ht="21" x14ac:dyDescent="0.3">
      <c r="A17" s="33" t="s">
        <v>13</v>
      </c>
      <c r="B17" s="34" cm="1">
        <f t="array" ref="B17">INDEX(EXP!$D:$AA,MATCH(1,(EXP!$A:$A="Rural+Urban")*(EXP!$B:$B=YEAR(B$6))*(EXP!$C:$C=TEXT(B$6,"mmmm")),0),MATCH($A17,EXP!$D$1:$AA$1,0))</f>
        <v>167.1</v>
      </c>
      <c r="C17" s="34" cm="1">
        <f t="array" ref="C17">INDEX(EXP!$D:$AA,MATCH(1,(EXP!$A:$A="Rural+Urban")*(EXP!$B:$B=YEAR(C$6))*(EXP!$C:$C=TEXT(C$6,"mmmm")),0),MATCH($A17,EXP!$D$1:$AA$1,0))</f>
        <v>173.4</v>
      </c>
      <c r="D17" s="32">
        <f t="shared" si="0"/>
        <v>3.7701974865350159E-2</v>
      </c>
    </row>
    <row r="18" spans="1:4" ht="21" x14ac:dyDescent="0.3">
      <c r="A18" s="33" t="s">
        <v>14</v>
      </c>
      <c r="B18" s="34" cm="1">
        <f t="array" ref="B18">INDEX(EXP!$D:$AA,MATCH(1,(EXP!$A:$A="Rural+Urban")*(EXP!$B:$B=YEAR(B$6))*(EXP!$C:$C=TEXT(B$6,"mmmm")),0),MATCH($A18,EXP!$D$1:$AA$1,0))</f>
        <v>182.5</v>
      </c>
      <c r="C18" s="34" cm="1">
        <f t="array" ref="C18">INDEX(EXP!$D:$AA,MATCH(1,(EXP!$A:$A="Rural+Urban")*(EXP!$B:$B=YEAR(C$6))*(EXP!$C:$C=TEXT(C$6,"mmmm")),0),MATCH($A18,EXP!$D$1:$AA$1,0))</f>
        <v>194.2</v>
      </c>
      <c r="D18" s="32">
        <f t="shared" si="0"/>
        <v>6.410958904109583E-2</v>
      </c>
    </row>
    <row r="20" spans="1:4" x14ac:dyDescent="0.3">
      <c r="A20" s="45" t="s">
        <v>83</v>
      </c>
      <c r="B20" s="45" t="s">
        <v>87</v>
      </c>
    </row>
    <row r="21" spans="1:4" x14ac:dyDescent="0.3">
      <c r="A21" s="39" t="s">
        <v>3</v>
      </c>
      <c r="B21" s="46">
        <v>0.12719013627514597</v>
      </c>
    </row>
    <row r="22" spans="1:4" x14ac:dyDescent="0.3">
      <c r="A22" s="39" t="s">
        <v>5</v>
      </c>
      <c r="B22" s="46">
        <v>6.6502463054187083E-2</v>
      </c>
    </row>
    <row r="23" spans="1:4" x14ac:dyDescent="0.3">
      <c r="A23" s="39" t="s">
        <v>8</v>
      </c>
      <c r="B23" s="46">
        <v>7.0175438596490562E-3</v>
      </c>
    </row>
    <row r="24" spans="1:4" x14ac:dyDescent="0.3">
      <c r="A24" s="39" t="s">
        <v>4</v>
      </c>
      <c r="B24" s="46">
        <v>-1.2442396313364003E-2</v>
      </c>
    </row>
    <row r="25" spans="1:4" x14ac:dyDescent="0.3">
      <c r="A25" s="39" t="s">
        <v>6</v>
      </c>
      <c r="B25" s="46">
        <v>8.853850818677983E-2</v>
      </c>
    </row>
    <row r="26" spans="1:4" x14ac:dyDescent="0.3">
      <c r="A26" s="39" t="s">
        <v>13</v>
      </c>
      <c r="B26" s="46">
        <v>3.7701974865350159E-2</v>
      </c>
    </row>
    <row r="27" spans="1:4" x14ac:dyDescent="0.3">
      <c r="A27" s="39" t="s">
        <v>7</v>
      </c>
      <c r="B27" s="46">
        <v>-0.16007905138339923</v>
      </c>
    </row>
    <row r="28" spans="1:4" x14ac:dyDescent="0.3">
      <c r="A28" s="39" t="s">
        <v>14</v>
      </c>
      <c r="B28" s="46">
        <v>6.410958904109583E-2</v>
      </c>
    </row>
    <row r="29" spans="1:4" x14ac:dyDescent="0.3">
      <c r="A29" s="39" t="s">
        <v>10</v>
      </c>
      <c r="B29" s="46">
        <v>6.6180935033394089E-2</v>
      </c>
    </row>
    <row r="30" spans="1:4" x14ac:dyDescent="0.3">
      <c r="A30" s="39" t="s">
        <v>12</v>
      </c>
      <c r="B30" s="46">
        <v>0.1790156841535965</v>
      </c>
    </row>
    <row r="31" spans="1:4" x14ac:dyDescent="0.3">
      <c r="A31" s="39" t="s">
        <v>11</v>
      </c>
      <c r="B31" s="46">
        <v>2.5062656641604009E-2</v>
      </c>
    </row>
    <row r="32" spans="1:4" x14ac:dyDescent="0.3">
      <c r="A32" s="39" t="s">
        <v>9</v>
      </c>
      <c r="B32" s="46">
        <v>-7.9473985134362518E-2</v>
      </c>
    </row>
    <row r="33" spans="1:2" s="44" customFormat="1" x14ac:dyDescent="0.3">
      <c r="A33" s="45" t="s">
        <v>84</v>
      </c>
      <c r="B33" s="47">
        <v>0.40932405827967677</v>
      </c>
    </row>
  </sheetData>
  <mergeCells count="1">
    <mergeCell ref="A1:T4"/>
  </mergeCells>
  <conditionalFormatting sqref="D7:D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EB25-17CB-4FA1-8B02-E4A53613993B}">
  <sheetPr>
    <tabColor rgb="FF92D050"/>
  </sheetPr>
  <dimension ref="A3:H48"/>
  <sheetViews>
    <sheetView showGridLines="0" workbookViewId="0">
      <selection activeCell="G38" sqref="G38"/>
    </sheetView>
  </sheetViews>
  <sheetFormatPr defaultRowHeight="14.4" x14ac:dyDescent="0.3"/>
  <cols>
    <col min="1" max="1" width="11.5546875" bestFit="1" customWidth="1"/>
    <col min="2" max="2" width="5" bestFit="1" customWidth="1"/>
    <col min="3" max="3" width="6.6640625" bestFit="1" customWidth="1"/>
    <col min="4" max="5" width="18.44140625" bestFit="1" customWidth="1"/>
    <col min="7" max="7" width="12.77734375" bestFit="1" customWidth="1"/>
    <col min="8" max="8" width="25.44140625" bestFit="1" customWidth="1"/>
    <col min="9" max="9" width="25.109375" bestFit="1" customWidth="1"/>
  </cols>
  <sheetData>
    <row r="3" spans="1:8" x14ac:dyDescent="0.3">
      <c r="A3" s="100" t="s">
        <v>103</v>
      </c>
      <c r="B3" s="100"/>
      <c r="C3" s="100"/>
      <c r="D3" s="100"/>
      <c r="E3" s="100"/>
      <c r="F3" s="100"/>
      <c r="G3" s="100"/>
      <c r="H3" s="100"/>
    </row>
    <row r="4" spans="1:8" x14ac:dyDescent="0.3">
      <c r="A4" s="100"/>
      <c r="B4" s="100"/>
      <c r="C4" s="100"/>
      <c r="D4" s="100"/>
      <c r="E4" s="100"/>
      <c r="F4" s="100"/>
      <c r="G4" s="100"/>
      <c r="H4" s="100"/>
    </row>
    <row r="5" spans="1:8" x14ac:dyDescent="0.3">
      <c r="A5" s="100"/>
      <c r="B5" s="100"/>
      <c r="C5" s="100"/>
      <c r="D5" s="100"/>
      <c r="E5" s="100"/>
      <c r="F5" s="100"/>
      <c r="G5" s="100"/>
      <c r="H5" s="100"/>
    </row>
    <row r="6" spans="1:8" x14ac:dyDescent="0.3">
      <c r="A6" s="100"/>
      <c r="B6" s="100"/>
      <c r="C6" s="100"/>
      <c r="D6" s="100"/>
      <c r="E6" s="100"/>
      <c r="F6" s="100"/>
      <c r="G6" s="100"/>
      <c r="H6" s="100"/>
    </row>
    <row r="7" spans="1:8" x14ac:dyDescent="0.3">
      <c r="A7" s="43" t="s">
        <v>0</v>
      </c>
      <c r="B7" s="43" t="s">
        <v>1</v>
      </c>
      <c r="C7" s="43" t="s">
        <v>2</v>
      </c>
      <c r="D7" s="43" t="s">
        <v>15</v>
      </c>
      <c r="E7" s="43" t="s">
        <v>88</v>
      </c>
      <c r="G7" s="38" t="s">
        <v>83</v>
      </c>
      <c r="H7" s="38" t="s">
        <v>89</v>
      </c>
    </row>
    <row r="8" spans="1:8" x14ac:dyDescent="0.3">
      <c r="A8" s="36" t="s">
        <v>34</v>
      </c>
      <c r="B8" s="36">
        <v>2017</v>
      </c>
      <c r="C8" s="36" t="s">
        <v>36</v>
      </c>
      <c r="D8" s="36">
        <v>133.1</v>
      </c>
      <c r="E8" s="36"/>
      <c r="G8" s="39">
        <v>2017</v>
      </c>
      <c r="H8" s="40"/>
    </row>
    <row r="9" spans="1:8" x14ac:dyDescent="0.3">
      <c r="A9" s="36" t="s">
        <v>34</v>
      </c>
      <c r="B9" s="36">
        <v>2018</v>
      </c>
      <c r="C9" s="36" t="s">
        <v>36</v>
      </c>
      <c r="D9" s="36">
        <v>137.19999999999999</v>
      </c>
      <c r="E9" s="37">
        <f>(D9-D8)/D8</f>
        <v>3.0803906836964646E-2</v>
      </c>
      <c r="G9" s="39">
        <v>2018</v>
      </c>
      <c r="H9" s="40">
        <v>3.0803906836964646E-2</v>
      </c>
    </row>
    <row r="10" spans="1:8" x14ac:dyDescent="0.3">
      <c r="A10" s="36" t="s">
        <v>34</v>
      </c>
      <c r="B10" s="36">
        <v>2019</v>
      </c>
      <c r="C10" s="36" t="s">
        <v>36</v>
      </c>
      <c r="D10" s="36">
        <v>138.1</v>
      </c>
      <c r="E10" s="37">
        <f t="shared" ref="E10:E14" si="0">(D10-D9)/D9</f>
        <v>6.5597667638484384E-3</v>
      </c>
      <c r="G10" s="39">
        <v>2019</v>
      </c>
      <c r="H10" s="40">
        <v>6.5597667638484384E-3</v>
      </c>
    </row>
    <row r="11" spans="1:8" x14ac:dyDescent="0.3">
      <c r="A11" s="36" t="s">
        <v>34</v>
      </c>
      <c r="B11" s="36">
        <v>2020</v>
      </c>
      <c r="C11" s="36" t="s">
        <v>36</v>
      </c>
      <c r="D11" s="36">
        <v>148.9</v>
      </c>
      <c r="E11" s="37">
        <f t="shared" si="0"/>
        <v>7.8204199855177486E-2</v>
      </c>
      <c r="G11" s="39">
        <v>2020</v>
      </c>
      <c r="H11" s="40">
        <v>7.8204199855177486E-2</v>
      </c>
    </row>
    <row r="12" spans="1:8" x14ac:dyDescent="0.3">
      <c r="A12" s="36" t="s">
        <v>34</v>
      </c>
      <c r="B12" s="36">
        <v>2021</v>
      </c>
      <c r="C12" s="36" t="s">
        <v>36</v>
      </c>
      <c r="D12" s="36">
        <v>156.69999999999999</v>
      </c>
      <c r="E12" s="37">
        <f t="shared" si="0"/>
        <v>5.2384150436534473E-2</v>
      </c>
      <c r="G12" s="39">
        <v>2021</v>
      </c>
      <c r="H12" s="40">
        <v>5.2384150436534473E-2</v>
      </c>
    </row>
    <row r="13" spans="1:8" x14ac:dyDescent="0.3">
      <c r="A13" s="36" t="s">
        <v>34</v>
      </c>
      <c r="B13" s="36">
        <v>2022</v>
      </c>
      <c r="C13" s="36" t="s">
        <v>36</v>
      </c>
      <c r="D13" s="36">
        <v>168.4</v>
      </c>
      <c r="E13" s="37">
        <f t="shared" si="0"/>
        <v>7.4664964901084985E-2</v>
      </c>
      <c r="G13" s="39">
        <v>2022</v>
      </c>
      <c r="H13" s="40">
        <v>7.4664964901084985E-2</v>
      </c>
    </row>
    <row r="14" spans="1:8" x14ac:dyDescent="0.3">
      <c r="A14" s="36" t="s">
        <v>34</v>
      </c>
      <c r="B14" s="36">
        <v>2023</v>
      </c>
      <c r="C14" s="36" t="s">
        <v>36</v>
      </c>
      <c r="D14" s="36">
        <v>177</v>
      </c>
      <c r="E14" s="37">
        <f t="shared" si="0"/>
        <v>5.1068883610451268E-2</v>
      </c>
      <c r="G14" s="39">
        <v>2023</v>
      </c>
      <c r="H14" s="40">
        <v>5.1068883610451268E-2</v>
      </c>
    </row>
    <row r="15" spans="1:8" x14ac:dyDescent="0.3">
      <c r="G15" s="41" t="s">
        <v>84</v>
      </c>
      <c r="H15" s="42">
        <v>0.2936858724040613</v>
      </c>
    </row>
    <row r="16" spans="1:8" x14ac:dyDescent="0.3">
      <c r="A16" s="100" t="s">
        <v>104</v>
      </c>
      <c r="B16" s="101"/>
      <c r="C16" s="101"/>
      <c r="D16" s="101"/>
      <c r="E16" s="101"/>
      <c r="F16" s="101"/>
      <c r="G16" s="101"/>
      <c r="H16" s="101"/>
    </row>
    <row r="17" spans="1:8" x14ac:dyDescent="0.3">
      <c r="A17" s="101"/>
      <c r="B17" s="101"/>
      <c r="C17" s="101"/>
      <c r="D17" s="101"/>
      <c r="E17" s="101"/>
      <c r="F17" s="101"/>
      <c r="G17" s="101"/>
      <c r="H17" s="101"/>
    </row>
    <row r="18" spans="1:8" x14ac:dyDescent="0.3">
      <c r="A18" s="101"/>
      <c r="B18" s="101"/>
      <c r="C18" s="101"/>
      <c r="D18" s="101"/>
      <c r="E18" s="101"/>
      <c r="F18" s="101"/>
      <c r="G18" s="101"/>
      <c r="H18" s="101"/>
    </row>
    <row r="19" spans="1:8" x14ac:dyDescent="0.3">
      <c r="A19" s="101"/>
      <c r="B19" s="101"/>
      <c r="C19" s="101"/>
      <c r="D19" s="101"/>
      <c r="E19" s="101"/>
      <c r="F19" s="101"/>
      <c r="G19" s="101"/>
      <c r="H19" s="101"/>
    </row>
    <row r="20" spans="1:8" x14ac:dyDescent="0.3">
      <c r="A20" s="43" t="s">
        <v>0</v>
      </c>
      <c r="B20" s="43" t="s">
        <v>1</v>
      </c>
      <c r="C20" s="43" t="s">
        <v>2</v>
      </c>
      <c r="D20" s="43" t="s">
        <v>23</v>
      </c>
      <c r="E20" s="43" t="s">
        <v>88</v>
      </c>
      <c r="G20" s="38" t="s">
        <v>83</v>
      </c>
      <c r="H20" s="38" t="s">
        <v>89</v>
      </c>
    </row>
    <row r="21" spans="1:8" x14ac:dyDescent="0.3">
      <c r="A21" s="36" t="s">
        <v>34</v>
      </c>
      <c r="B21" s="36">
        <v>2017</v>
      </c>
      <c r="C21" s="36" t="s">
        <v>36</v>
      </c>
      <c r="D21" s="36">
        <v>127.8</v>
      </c>
      <c r="E21" s="36"/>
      <c r="G21" s="39">
        <v>2017</v>
      </c>
      <c r="H21" s="40"/>
    </row>
    <row r="22" spans="1:8" x14ac:dyDescent="0.3">
      <c r="A22" s="36" t="s">
        <v>34</v>
      </c>
      <c r="B22" s="36">
        <v>2018</v>
      </c>
      <c r="C22" s="36" t="s">
        <v>36</v>
      </c>
      <c r="D22" s="36">
        <v>134.30000000000001</v>
      </c>
      <c r="E22" s="37">
        <f>(D22-D21)/D21</f>
        <v>5.0860719874804491E-2</v>
      </c>
      <c r="G22" s="39">
        <v>2018</v>
      </c>
      <c r="H22" s="40">
        <v>5.0860719874804491E-2</v>
      </c>
    </row>
    <row r="23" spans="1:8" x14ac:dyDescent="0.3">
      <c r="A23" s="36" t="s">
        <v>34</v>
      </c>
      <c r="B23" s="36">
        <v>2019</v>
      </c>
      <c r="C23" s="36" t="s">
        <v>36</v>
      </c>
      <c r="D23" s="36">
        <v>146.19999999999999</v>
      </c>
      <c r="E23" s="37">
        <f t="shared" ref="E23:E27" si="1">(D23-D22)/D22</f>
        <v>8.8607594936708681E-2</v>
      </c>
      <c r="G23" s="39">
        <v>2019</v>
      </c>
      <c r="H23" s="40">
        <v>8.8607594936708681E-2</v>
      </c>
    </row>
    <row r="24" spans="1:8" x14ac:dyDescent="0.3">
      <c r="A24" s="36" t="s">
        <v>34</v>
      </c>
      <c r="B24" s="36">
        <v>2020</v>
      </c>
      <c r="C24" s="36" t="s">
        <v>36</v>
      </c>
      <c r="D24" s="36">
        <v>152.30000000000001</v>
      </c>
      <c r="E24" s="37">
        <f t="shared" si="1"/>
        <v>4.1723666210670474E-2</v>
      </c>
      <c r="G24" s="39">
        <v>2020</v>
      </c>
      <c r="H24" s="40">
        <v>4.1723666210670474E-2</v>
      </c>
    </row>
    <row r="25" spans="1:8" x14ac:dyDescent="0.3">
      <c r="A25" s="36" t="s">
        <v>34</v>
      </c>
      <c r="B25" s="36">
        <v>2021</v>
      </c>
      <c r="C25" s="36" t="s">
        <v>36</v>
      </c>
      <c r="D25" s="36">
        <v>161.69999999999999</v>
      </c>
      <c r="E25" s="37">
        <f t="shared" si="1"/>
        <v>6.1720288903479817E-2</v>
      </c>
      <c r="G25" s="39">
        <v>2021</v>
      </c>
      <c r="H25" s="40">
        <v>6.1720288903479817E-2</v>
      </c>
    </row>
    <row r="26" spans="1:8" x14ac:dyDescent="0.3">
      <c r="A26" s="36" t="s">
        <v>34</v>
      </c>
      <c r="B26" s="36">
        <v>2022</v>
      </c>
      <c r="C26" s="36" t="s">
        <v>36</v>
      </c>
      <c r="D26" s="36">
        <v>173</v>
      </c>
      <c r="E26" s="37">
        <f t="shared" si="1"/>
        <v>6.9882498453927105E-2</v>
      </c>
      <c r="G26" s="39">
        <v>2022</v>
      </c>
      <c r="H26" s="40">
        <v>6.9882498453927105E-2</v>
      </c>
    </row>
    <row r="27" spans="1:8" x14ac:dyDescent="0.3">
      <c r="A27" s="36" t="s">
        <v>34</v>
      </c>
      <c r="B27" s="36">
        <v>2023</v>
      </c>
      <c r="C27" s="36" t="s">
        <v>36</v>
      </c>
      <c r="D27" s="36">
        <v>184.4</v>
      </c>
      <c r="E27" s="37">
        <f t="shared" si="1"/>
        <v>6.589595375722547E-2</v>
      </c>
      <c r="G27" s="39">
        <v>2023</v>
      </c>
      <c r="H27" s="40">
        <v>6.589595375722547E-2</v>
      </c>
    </row>
    <row r="28" spans="1:8" x14ac:dyDescent="0.3">
      <c r="G28" s="41" t="s">
        <v>84</v>
      </c>
      <c r="H28" s="42">
        <v>0.37869072213681598</v>
      </c>
    </row>
    <row r="29" spans="1:8" x14ac:dyDescent="0.3">
      <c r="A29" s="100" t="s">
        <v>105</v>
      </c>
      <c r="B29" s="100"/>
      <c r="C29" s="100"/>
      <c r="D29" s="100"/>
      <c r="E29" s="100"/>
      <c r="F29" s="100"/>
      <c r="G29" s="100"/>
      <c r="H29" s="100"/>
    </row>
    <row r="30" spans="1:8" x14ac:dyDescent="0.3">
      <c r="A30" s="100"/>
      <c r="B30" s="100"/>
      <c r="C30" s="100"/>
      <c r="D30" s="100"/>
      <c r="E30" s="100"/>
      <c r="F30" s="100"/>
      <c r="G30" s="100"/>
      <c r="H30" s="100"/>
    </row>
    <row r="31" spans="1:8" x14ac:dyDescent="0.3">
      <c r="A31" s="100"/>
      <c r="B31" s="100"/>
      <c r="C31" s="100"/>
      <c r="D31" s="100"/>
      <c r="E31" s="100"/>
      <c r="F31" s="100"/>
      <c r="G31" s="100"/>
      <c r="H31" s="100"/>
    </row>
    <row r="32" spans="1:8" x14ac:dyDescent="0.3">
      <c r="A32" s="100"/>
      <c r="B32" s="100"/>
      <c r="C32" s="100"/>
      <c r="D32" s="100"/>
      <c r="E32" s="100"/>
      <c r="F32" s="100"/>
      <c r="G32" s="100"/>
      <c r="H32" s="100"/>
    </row>
    <row r="33" spans="1:8" x14ac:dyDescent="0.3">
      <c r="A33" s="43" t="s">
        <v>0</v>
      </c>
      <c r="B33" s="43" t="s">
        <v>1</v>
      </c>
      <c r="C33" s="43" t="s">
        <v>2</v>
      </c>
      <c r="D33" s="43" t="s">
        <v>90</v>
      </c>
      <c r="E33" s="43" t="s">
        <v>88</v>
      </c>
      <c r="G33" s="38" t="s">
        <v>83</v>
      </c>
      <c r="H33" s="38" t="s">
        <v>89</v>
      </c>
    </row>
    <row r="34" spans="1:8" x14ac:dyDescent="0.3">
      <c r="A34" s="36" t="s">
        <v>34</v>
      </c>
      <c r="B34" s="36">
        <v>2017</v>
      </c>
      <c r="C34" s="36" t="s">
        <v>36</v>
      </c>
      <c r="D34" s="36">
        <v>126.80000000000001</v>
      </c>
      <c r="E34" s="36"/>
      <c r="G34" s="39">
        <v>2017</v>
      </c>
      <c r="H34" s="40"/>
    </row>
    <row r="35" spans="1:8" x14ac:dyDescent="0.3">
      <c r="A35" s="36" t="s">
        <v>34</v>
      </c>
      <c r="B35" s="36">
        <v>2018</v>
      </c>
      <c r="C35" s="36" t="s">
        <v>36</v>
      </c>
      <c r="D35" s="36">
        <v>132.97499999999999</v>
      </c>
      <c r="E35" s="37">
        <f>(D35-D34)/D34</f>
        <v>4.8698738170346867E-2</v>
      </c>
      <c r="G35" s="39">
        <v>2018</v>
      </c>
      <c r="H35" s="40">
        <v>4.8698738170346867E-2</v>
      </c>
    </row>
    <row r="36" spans="1:8" x14ac:dyDescent="0.3">
      <c r="A36" s="36" t="s">
        <v>34</v>
      </c>
      <c r="B36" s="36">
        <v>2019</v>
      </c>
      <c r="C36" s="36" t="s">
        <v>36</v>
      </c>
      <c r="D36" s="36">
        <v>139.52499999999998</v>
      </c>
      <c r="E36" s="37">
        <f t="shared" ref="E36:E40" si="2">(D36-D35)/D35</f>
        <v>4.9257379206617657E-2</v>
      </c>
      <c r="G36" s="39">
        <v>2019</v>
      </c>
      <c r="H36" s="40">
        <v>4.9257379206617657E-2</v>
      </c>
    </row>
    <row r="37" spans="1:8" x14ac:dyDescent="0.3">
      <c r="A37" s="36" t="s">
        <v>34</v>
      </c>
      <c r="B37" s="36">
        <v>2020</v>
      </c>
      <c r="C37" s="36" t="s">
        <v>36</v>
      </c>
      <c r="D37" s="36">
        <v>146.06249999999997</v>
      </c>
      <c r="E37" s="37">
        <f t="shared" si="2"/>
        <v>4.6855402257659884E-2</v>
      </c>
      <c r="G37" s="39">
        <v>2020</v>
      </c>
      <c r="H37" s="40">
        <v>4.6855402257659884E-2</v>
      </c>
    </row>
    <row r="38" spans="1:8" x14ac:dyDescent="0.3">
      <c r="A38" s="36" t="s">
        <v>34</v>
      </c>
      <c r="B38" s="36">
        <v>2021</v>
      </c>
      <c r="C38" s="36" t="s">
        <v>36</v>
      </c>
      <c r="D38" s="36">
        <v>154.14999999999998</v>
      </c>
      <c r="E38" s="37">
        <f t="shared" si="2"/>
        <v>5.5370132648694954E-2</v>
      </c>
      <c r="G38" s="39">
        <v>2021</v>
      </c>
      <c r="H38" s="40">
        <v>5.5370132648694954E-2</v>
      </c>
    </row>
    <row r="39" spans="1:8" x14ac:dyDescent="0.3">
      <c r="A39" s="36" t="s">
        <v>34</v>
      </c>
      <c r="B39" s="36">
        <v>2022</v>
      </c>
      <c r="C39" s="36" t="s">
        <v>36</v>
      </c>
      <c r="D39" s="36">
        <v>164.28749999999999</v>
      </c>
      <c r="E39" s="37">
        <f t="shared" si="2"/>
        <v>6.5763866363931361E-2</v>
      </c>
      <c r="G39" s="39">
        <v>2022</v>
      </c>
      <c r="H39" s="40">
        <v>6.5763866363931361E-2</v>
      </c>
    </row>
    <row r="40" spans="1:8" x14ac:dyDescent="0.3">
      <c r="A40" s="36" t="s">
        <v>34</v>
      </c>
      <c r="B40" s="36">
        <v>2023</v>
      </c>
      <c r="C40" s="36" t="s">
        <v>36</v>
      </c>
      <c r="D40" s="36">
        <v>174.27499999999998</v>
      </c>
      <c r="E40" s="37">
        <f t="shared" si="2"/>
        <v>6.0792817469375232E-2</v>
      </c>
      <c r="G40" s="39">
        <v>2023</v>
      </c>
      <c r="H40" s="40">
        <v>6.0792817469375232E-2</v>
      </c>
    </row>
    <row r="41" spans="1:8" x14ac:dyDescent="0.3">
      <c r="G41" s="41" t="s">
        <v>84</v>
      </c>
      <c r="H41" s="42">
        <v>0.32673833611662595</v>
      </c>
    </row>
    <row r="48" spans="1:8" s="64" customFormat="1" ht="21" x14ac:dyDescent="0.4">
      <c r="A48" s="64" t="s">
        <v>99</v>
      </c>
    </row>
  </sheetData>
  <mergeCells count="3">
    <mergeCell ref="A3:H6"/>
    <mergeCell ref="A16:H19"/>
    <mergeCell ref="A29:H32"/>
  </mergeCells>
  <pageMargins left="0.7" right="0.7" top="0.75" bottom="0.75" header="0.3" footer="0.3"/>
  <pageSetup orientation="portrait" r:id="rId4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7E55-B7B9-4C62-9C9D-3CC54A63619C}">
  <sheetPr>
    <tabColor rgb="FF92D050"/>
  </sheetPr>
  <dimension ref="A1:BD66"/>
  <sheetViews>
    <sheetView showGridLines="0" tabSelected="1" workbookViewId="0">
      <selection activeCell="I38" sqref="I38"/>
    </sheetView>
  </sheetViews>
  <sheetFormatPr defaultRowHeight="14.4" x14ac:dyDescent="0.3"/>
  <cols>
    <col min="1" max="1" width="32.33203125" bestFit="1" customWidth="1"/>
    <col min="2" max="2" width="18.33203125" bestFit="1" customWidth="1"/>
    <col min="3" max="3" width="22.88671875" bestFit="1" customWidth="1"/>
    <col min="7" max="7" width="5" bestFit="1" customWidth="1"/>
    <col min="8" max="8" width="10.5546875" bestFit="1" customWidth="1"/>
    <col min="9" max="9" width="19.109375" bestFit="1" customWidth="1"/>
    <col min="10" max="10" width="8.6640625" bestFit="1" customWidth="1"/>
    <col min="11" max="11" width="12.88671875" bestFit="1" customWidth="1"/>
    <col min="12" max="12" width="8.6640625" bestFit="1" customWidth="1"/>
    <col min="13" max="13" width="6" bestFit="1" customWidth="1"/>
    <col min="14" max="14" width="8.6640625" bestFit="1" customWidth="1"/>
    <col min="15" max="15" width="16.5546875" bestFit="1" customWidth="1"/>
    <col min="16" max="16" width="8.6640625" bestFit="1" customWidth="1"/>
    <col min="17" max="17" width="11.5546875" bestFit="1" customWidth="1"/>
    <col min="18" max="18" width="8.6640625" style="35" bestFit="1" customWidth="1"/>
    <col min="19" max="19" width="6" bestFit="1" customWidth="1"/>
    <col min="20" max="20" width="8.6640625" style="35" bestFit="1" customWidth="1"/>
    <col min="21" max="21" width="10.6640625" bestFit="1" customWidth="1"/>
    <col min="22" max="22" width="8.6640625" style="35" bestFit="1" customWidth="1"/>
    <col min="23" max="23" width="18.33203125" bestFit="1" customWidth="1"/>
    <col min="24" max="24" width="8.6640625" style="35" bestFit="1" customWidth="1"/>
    <col min="25" max="25" width="22.33203125" bestFit="1" customWidth="1"/>
    <col min="26" max="26" width="8.6640625" style="35" bestFit="1" customWidth="1"/>
    <col min="27" max="27" width="6.33203125" bestFit="1" customWidth="1"/>
    <col min="28" max="28" width="8.6640625" style="35" bestFit="1" customWidth="1"/>
    <col min="29" max="29" width="22.6640625" bestFit="1" customWidth="1"/>
    <col min="30" max="30" width="8.6640625" style="35" bestFit="1" customWidth="1"/>
    <col min="31" max="31" width="32.33203125" bestFit="1" customWidth="1"/>
    <col min="32" max="32" width="8.6640625" style="35" bestFit="1" customWidth="1"/>
    <col min="33" max="33" width="25.77734375" bestFit="1" customWidth="1"/>
    <col min="34" max="34" width="8.6640625" style="35" bestFit="1" customWidth="1"/>
    <col min="35" max="35" width="8.21875" bestFit="1" customWidth="1"/>
    <col min="36" max="36" width="8.6640625" style="35" bestFit="1" customWidth="1"/>
    <col min="37" max="37" width="9.109375" bestFit="1" customWidth="1"/>
    <col min="38" max="38" width="8.6640625" style="35" bestFit="1" customWidth="1"/>
    <col min="39" max="39" width="7.88671875" bestFit="1" customWidth="1"/>
    <col min="40" max="40" width="8.6640625" style="35" bestFit="1" customWidth="1"/>
    <col min="41" max="41" width="12.77734375" bestFit="1" customWidth="1"/>
    <col min="42" max="42" width="8.6640625" style="35" bestFit="1" customWidth="1"/>
    <col min="43" max="43" width="27.33203125" bestFit="1" customWidth="1"/>
    <col min="44" max="44" width="8.6640625" style="35" bestFit="1" customWidth="1"/>
    <col min="45" max="45" width="6.6640625" bestFit="1" customWidth="1"/>
    <col min="46" max="46" width="8.6640625" style="35" bestFit="1" customWidth="1"/>
    <col min="47" max="47" width="27.109375" bestFit="1" customWidth="1"/>
    <col min="48" max="48" width="8.6640625" style="35" bestFit="1" customWidth="1"/>
    <col min="49" max="49" width="25.109375" bestFit="1" customWidth="1"/>
    <col min="50" max="50" width="8.6640625" style="35" bestFit="1" customWidth="1"/>
    <col min="51" max="51" width="9.44140625" bestFit="1" customWidth="1"/>
    <col min="52" max="52" width="8.6640625" style="35" bestFit="1" customWidth="1"/>
    <col min="53" max="53" width="22.88671875" bestFit="1" customWidth="1"/>
    <col min="54" max="54" width="8.6640625" style="35" bestFit="1" customWidth="1"/>
    <col min="55" max="55" width="13.5546875" bestFit="1" customWidth="1"/>
    <col min="56" max="56" width="8.6640625" style="54" bestFit="1" customWidth="1"/>
    <col min="57" max="57" width="18.44140625" bestFit="1" customWidth="1"/>
    <col min="58" max="58" width="20.44140625" bestFit="1" customWidth="1"/>
  </cols>
  <sheetData>
    <row r="1" spans="1:56" x14ac:dyDescent="0.3">
      <c r="A1" s="102" t="s">
        <v>110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56" x14ac:dyDescent="0.3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</row>
    <row r="4" spans="1:56" x14ac:dyDescent="0.3">
      <c r="A4" s="65" t="s">
        <v>1</v>
      </c>
      <c r="B4" s="65" t="s">
        <v>2</v>
      </c>
      <c r="C4" s="65" t="s">
        <v>91</v>
      </c>
      <c r="D4" s="65" t="s">
        <v>92</v>
      </c>
      <c r="G4" s="52" t="s">
        <v>1</v>
      </c>
      <c r="H4" s="52" t="s">
        <v>2</v>
      </c>
      <c r="I4" s="52" t="s">
        <v>3</v>
      </c>
      <c r="J4" s="52" t="s">
        <v>92</v>
      </c>
      <c r="K4" s="52" t="s">
        <v>4</v>
      </c>
      <c r="L4" s="52" t="s">
        <v>92</v>
      </c>
      <c r="M4" s="52" t="s">
        <v>5</v>
      </c>
      <c r="N4" s="52" t="s">
        <v>92</v>
      </c>
      <c r="O4" s="52" t="s">
        <v>6</v>
      </c>
      <c r="P4" s="52" t="s">
        <v>92</v>
      </c>
      <c r="Q4" s="52" t="s">
        <v>7</v>
      </c>
      <c r="R4" s="52" t="s">
        <v>92</v>
      </c>
      <c r="S4" s="52" t="s">
        <v>8</v>
      </c>
      <c r="T4" s="52" t="s">
        <v>92</v>
      </c>
      <c r="U4" s="52" t="s">
        <v>9</v>
      </c>
      <c r="V4" s="52" t="s">
        <v>93</v>
      </c>
      <c r="W4" s="52" t="s">
        <v>10</v>
      </c>
      <c r="X4" s="52" t="s">
        <v>93</v>
      </c>
      <c r="Y4" s="52" t="s">
        <v>11</v>
      </c>
      <c r="Z4" s="52" t="s">
        <v>93</v>
      </c>
      <c r="AA4" s="52" t="s">
        <v>12</v>
      </c>
      <c r="AB4" s="52" t="s">
        <v>93</v>
      </c>
      <c r="AC4" s="52" t="s">
        <v>13</v>
      </c>
      <c r="AD4" s="52" t="s">
        <v>93</v>
      </c>
      <c r="AE4" s="52" t="s">
        <v>14</v>
      </c>
      <c r="AF4" s="52" t="s">
        <v>93</v>
      </c>
      <c r="AG4" s="52" t="s">
        <v>16</v>
      </c>
      <c r="AH4" s="52" t="s">
        <v>93</v>
      </c>
      <c r="AI4" s="52" t="s">
        <v>17</v>
      </c>
      <c r="AJ4" s="52" t="s">
        <v>93</v>
      </c>
      <c r="AK4" s="52" t="s">
        <v>18</v>
      </c>
      <c r="AL4" s="52" t="s">
        <v>93</v>
      </c>
      <c r="AM4" s="52" t="s">
        <v>20</v>
      </c>
      <c r="AN4" s="52" t="s">
        <v>93</v>
      </c>
      <c r="AO4" s="52" t="s">
        <v>21</v>
      </c>
      <c r="AP4" s="52" t="s">
        <v>93</v>
      </c>
      <c r="AQ4" s="52" t="s">
        <v>22</v>
      </c>
      <c r="AR4" s="52" t="s">
        <v>92</v>
      </c>
      <c r="AS4" s="52" t="s">
        <v>23</v>
      </c>
      <c r="AT4" s="52" t="s">
        <v>93</v>
      </c>
      <c r="AU4" s="52" t="s">
        <v>24</v>
      </c>
      <c r="AV4" s="52" t="s">
        <v>93</v>
      </c>
      <c r="AW4" s="52" t="s">
        <v>25</v>
      </c>
      <c r="AX4" s="52" t="s">
        <v>93</v>
      </c>
      <c r="AY4" s="52" t="s">
        <v>26</v>
      </c>
      <c r="AZ4" s="52" t="s">
        <v>93</v>
      </c>
      <c r="BA4" s="52" t="s">
        <v>27</v>
      </c>
      <c r="BB4" s="52" t="s">
        <v>93</v>
      </c>
      <c r="BC4" s="52" t="s">
        <v>28</v>
      </c>
      <c r="BD4" s="52" t="s">
        <v>93</v>
      </c>
    </row>
    <row r="5" spans="1:56" x14ac:dyDescent="0.3">
      <c r="A5" s="66">
        <v>2021</v>
      </c>
      <c r="B5" s="66" t="s">
        <v>31</v>
      </c>
      <c r="C5" s="67">
        <v>54.79</v>
      </c>
      <c r="D5" s="53"/>
      <c r="G5" s="36">
        <v>2021</v>
      </c>
      <c r="H5" s="36" t="s">
        <v>31</v>
      </c>
      <c r="I5" s="55">
        <v>144.9</v>
      </c>
      <c r="J5" s="56"/>
      <c r="K5" s="55">
        <v>190.1</v>
      </c>
      <c r="L5" s="56"/>
      <c r="M5" s="55">
        <v>175.3</v>
      </c>
      <c r="N5" s="56"/>
      <c r="O5" s="55">
        <v>154.1</v>
      </c>
      <c r="P5" s="56"/>
      <c r="Q5" s="55">
        <v>150.9</v>
      </c>
      <c r="R5" s="56"/>
      <c r="S5" s="55">
        <v>149.6</v>
      </c>
      <c r="T5" s="56"/>
      <c r="U5" s="55">
        <v>194.2</v>
      </c>
      <c r="V5" s="56"/>
      <c r="W5" s="55">
        <v>160.4</v>
      </c>
      <c r="X5" s="56"/>
      <c r="Y5" s="55">
        <v>114.6</v>
      </c>
      <c r="Z5" s="56"/>
      <c r="AA5" s="55">
        <v>164</v>
      </c>
      <c r="AB5" s="56"/>
      <c r="AC5" s="55">
        <v>151.80000000000001</v>
      </c>
      <c r="AD5" s="56"/>
      <c r="AE5" s="55">
        <v>165.6</v>
      </c>
      <c r="AF5" s="56"/>
      <c r="AG5" s="55">
        <v>186.5</v>
      </c>
      <c r="AH5" s="56"/>
      <c r="AI5" s="55">
        <v>155.5</v>
      </c>
      <c r="AJ5" s="56"/>
      <c r="AK5" s="55">
        <v>146.1</v>
      </c>
      <c r="AL5" s="56"/>
      <c r="AM5" s="55">
        <v>157.69999999999999</v>
      </c>
      <c r="AN5" s="56"/>
      <c r="AO5" s="55">
        <v>147.9</v>
      </c>
      <c r="AP5" s="56"/>
      <c r="AQ5" s="55">
        <v>150</v>
      </c>
      <c r="AR5" s="56"/>
      <c r="AS5" s="55">
        <v>159.30000000000001</v>
      </c>
      <c r="AT5" s="56"/>
      <c r="AU5" s="55">
        <v>141.9</v>
      </c>
      <c r="AV5" s="56"/>
      <c r="AW5" s="55">
        <v>149.6</v>
      </c>
      <c r="AX5" s="56"/>
      <c r="AY5" s="55">
        <v>159.19999999999999</v>
      </c>
      <c r="AZ5" s="56"/>
      <c r="BA5" s="55">
        <v>156.80000000000001</v>
      </c>
      <c r="BB5" s="56"/>
      <c r="BC5" s="55">
        <v>151.9</v>
      </c>
      <c r="BD5" s="57"/>
    </row>
    <row r="6" spans="1:56" x14ac:dyDescent="0.3">
      <c r="A6" s="68">
        <v>2021</v>
      </c>
      <c r="B6" s="68" t="s">
        <v>35</v>
      </c>
      <c r="C6" s="69">
        <v>61.22</v>
      </c>
      <c r="D6" s="53">
        <f>(C6-C5)/C5</f>
        <v>0.11735718196751231</v>
      </c>
      <c r="G6" s="36">
        <v>2021</v>
      </c>
      <c r="H6" s="36" t="s">
        <v>35</v>
      </c>
      <c r="I6" s="55">
        <v>144.30000000000001</v>
      </c>
      <c r="J6" s="56">
        <f>(I6-I5)/I5</f>
        <v>-4.1407867494823621E-3</v>
      </c>
      <c r="K6" s="55">
        <v>186.5</v>
      </c>
      <c r="L6" s="56">
        <f>(K6-K5)/K5</f>
        <v>-1.8937401367701182E-2</v>
      </c>
      <c r="M6" s="55">
        <v>168.7</v>
      </c>
      <c r="N6" s="56">
        <f>(M6-M5)/M5</f>
        <v>-3.764974329720492E-2</v>
      </c>
      <c r="O6" s="55">
        <v>154.69999999999999</v>
      </c>
      <c r="P6" s="56">
        <f>(O6-O5)/O5</f>
        <v>3.893575600259535E-3</v>
      </c>
      <c r="Q6" s="55">
        <v>158.69999999999999</v>
      </c>
      <c r="R6" s="56">
        <f>(Q6-Q5)/Q5</f>
        <v>5.1689860834989942E-2</v>
      </c>
      <c r="S6" s="55">
        <v>150.69999999999999</v>
      </c>
      <c r="T6" s="56">
        <f>(S6-S5)/S5</f>
        <v>7.3529411764705508E-3</v>
      </c>
      <c r="U6" s="55">
        <v>160</v>
      </c>
      <c r="V6" s="56">
        <f>(U6-U5)/U5</f>
        <v>-0.17610710607621005</v>
      </c>
      <c r="W6" s="55">
        <v>158.80000000000001</v>
      </c>
      <c r="X6" s="56">
        <f>(W6-W5)/W5</f>
        <v>-9.9750623441396159E-3</v>
      </c>
      <c r="Y6" s="55">
        <v>112.8</v>
      </c>
      <c r="Z6" s="56">
        <f>(Y6-Y5)/Y6</f>
        <v>-1.5957446808510613E-2</v>
      </c>
      <c r="AA6" s="55">
        <v>164.2</v>
      </c>
      <c r="AB6" s="56">
        <f>(AA6-AA5)/AA5</f>
        <v>1.2195121951218818E-3</v>
      </c>
      <c r="AC6" s="55">
        <v>155.5</v>
      </c>
      <c r="AD6" s="56">
        <f>(AC6-AC5)/AC5</f>
        <v>2.4374176548089516E-2</v>
      </c>
      <c r="AE6" s="55">
        <v>167.5</v>
      </c>
      <c r="AF6" s="56">
        <f>(AE6-AE5)/AE5</f>
        <v>1.1473429951690857E-2</v>
      </c>
      <c r="AG6" s="55">
        <v>188.3</v>
      </c>
      <c r="AH6" s="56">
        <f>(AG6-AG5)/AG5</f>
        <v>9.6514745308311604E-3</v>
      </c>
      <c r="AI6" s="55">
        <v>157.19999999999999</v>
      </c>
      <c r="AJ6" s="56">
        <f>(AI6-AI5)/AI5</f>
        <v>1.09324758842443E-2</v>
      </c>
      <c r="AK6" s="55">
        <v>147.4</v>
      </c>
      <c r="AL6" s="56">
        <f>(AK6-AK5)/AK5</f>
        <v>8.8980150581794079E-3</v>
      </c>
      <c r="AM6" s="55">
        <v>159.80000000000001</v>
      </c>
      <c r="AN6" s="56">
        <f>(AM6-AM5)/AM5</f>
        <v>1.331642358909336E-2</v>
      </c>
      <c r="AO6" s="55">
        <v>152.4</v>
      </c>
      <c r="AP6" s="56">
        <f>(AO6-AO5)/AO5</f>
        <v>3.0425963488843813E-2</v>
      </c>
      <c r="AQ6" s="55">
        <v>150.9</v>
      </c>
      <c r="AR6" s="56">
        <f>(AQ6-AQ5)/AQ5</f>
        <v>6.0000000000000383E-3</v>
      </c>
      <c r="AS6" s="55">
        <v>161.30000000000001</v>
      </c>
      <c r="AT6" s="56">
        <f>(AS6-AS5)/AS5</f>
        <v>1.2554927809165096E-2</v>
      </c>
      <c r="AU6" s="55">
        <v>145.1</v>
      </c>
      <c r="AV6" s="56">
        <f>(AU6-AU5)/AU5</f>
        <v>2.2551092318534097E-2</v>
      </c>
      <c r="AW6" s="55">
        <v>151.5</v>
      </c>
      <c r="AX6" s="56">
        <f>(AW6-AW5)/AW5</f>
        <v>1.2700534759358327E-2</v>
      </c>
      <c r="AY6" s="55">
        <v>159.5</v>
      </c>
      <c r="AZ6" s="56">
        <f>(AY6-AY5)/AY5</f>
        <v>1.8844221105528353E-3</v>
      </c>
      <c r="BA6" s="55">
        <v>155.80000000000001</v>
      </c>
      <c r="BB6" s="56">
        <f>(BA6-BA5)/BA5</f>
        <v>-6.3775510204081625E-3</v>
      </c>
      <c r="BC6" s="55">
        <v>153.4</v>
      </c>
      <c r="BD6" s="57">
        <f>(BC6-BC5)/BC5</f>
        <v>9.8749177090190904E-3</v>
      </c>
    </row>
    <row r="7" spans="1:56" x14ac:dyDescent="0.3">
      <c r="A7" s="66">
        <v>2021</v>
      </c>
      <c r="B7" s="66" t="s">
        <v>36</v>
      </c>
      <c r="C7" s="67">
        <v>64.73</v>
      </c>
      <c r="D7" s="53">
        <f t="shared" ref="D7:D33" si="0">(C7-C6)/C6</f>
        <v>5.7334204508330697E-2</v>
      </c>
      <c r="G7" s="36">
        <v>2021</v>
      </c>
      <c r="H7" s="36" t="s">
        <v>36</v>
      </c>
      <c r="I7" s="55">
        <v>144.1</v>
      </c>
      <c r="J7" s="56">
        <f t="shared" ref="J7:J33" si="1">(I7-I6)/I6</f>
        <v>-1.386001386001504E-3</v>
      </c>
      <c r="K7" s="55">
        <v>192.2</v>
      </c>
      <c r="L7" s="56">
        <f t="shared" ref="L7:L33" si="2">(K7-K6)/K6</f>
        <v>3.0563002680965085E-2</v>
      </c>
      <c r="M7" s="55">
        <v>163.80000000000001</v>
      </c>
      <c r="N7" s="56">
        <f t="shared" ref="N7:N33" si="3">(M7-M6)/M6</f>
        <v>-2.9045643153526837E-2</v>
      </c>
      <c r="O7" s="55">
        <v>154.9</v>
      </c>
      <c r="P7" s="56">
        <f t="shared" ref="P7:P33" si="4">(O7-O6)/O6</f>
        <v>1.2928248222366973E-3</v>
      </c>
      <c r="Q7" s="55">
        <v>163.9</v>
      </c>
      <c r="R7" s="56">
        <f t="shared" ref="R7:R33" si="5">(Q7-Q6)/Q6</f>
        <v>3.2766225582860853E-2</v>
      </c>
      <c r="S7" s="55">
        <v>153.69999999999999</v>
      </c>
      <c r="T7" s="56">
        <f t="shared" ref="T7:T33" si="6">(S7-S6)/S6</f>
        <v>1.9907100199071003E-2</v>
      </c>
      <c r="U7" s="55">
        <v>149.5</v>
      </c>
      <c r="V7" s="56">
        <f t="shared" ref="V7:V33" si="7">(U7-U6)/U6</f>
        <v>-6.5625000000000003E-2</v>
      </c>
      <c r="W7" s="55">
        <v>159.80000000000001</v>
      </c>
      <c r="X7" s="56">
        <f t="shared" ref="X7:X33" si="8">(W7-W6)/W6</f>
        <v>6.2972292191435762E-3</v>
      </c>
      <c r="Y7" s="55">
        <v>112.6</v>
      </c>
      <c r="Z7" s="56">
        <f t="shared" ref="Z7:Z33" si="9">(Y7-Y6)/Y7</f>
        <v>-1.7761989342806649E-3</v>
      </c>
      <c r="AA7" s="55">
        <v>163.5</v>
      </c>
      <c r="AB7" s="56">
        <f t="shared" ref="AB7:AB33" si="10">(AA7-AA6)/AA6</f>
        <v>-4.2630937880632682E-3</v>
      </c>
      <c r="AC7" s="55">
        <v>156.5</v>
      </c>
      <c r="AD7" s="56">
        <f t="shared" ref="AD7:AD33" si="11">(AC7-AC6)/AC6</f>
        <v>6.4308681672025723E-3</v>
      </c>
      <c r="AE7" s="55">
        <v>168.2</v>
      </c>
      <c r="AF7" s="56">
        <f t="shared" ref="AF7:AF33" si="12">(AE7-AE6)/AE6</f>
        <v>4.1791044776118723E-3</v>
      </c>
      <c r="AG7" s="55">
        <v>188.1</v>
      </c>
      <c r="AH7" s="56">
        <f t="shared" ref="AH7:AH33" si="13">(AG7-AG6)/AG6</f>
        <v>-1.0621348911312642E-3</v>
      </c>
      <c r="AI7" s="55">
        <v>157.80000000000001</v>
      </c>
      <c r="AJ7" s="56">
        <f t="shared" ref="AJ7:AJ33" si="14">(AI7-AI6)/AI6</f>
        <v>3.8167938931299157E-3</v>
      </c>
      <c r="AK7" s="55">
        <v>147.9</v>
      </c>
      <c r="AL7" s="56">
        <f t="shared" ref="AL7:AL33" si="15">(AK7-AK6)/AK6</f>
        <v>3.3921302578018993E-3</v>
      </c>
      <c r="AM7" s="55">
        <v>159.9</v>
      </c>
      <c r="AN7" s="56">
        <f t="shared" ref="AN7:AN33" si="16">(AM7-AM6)/AM6</f>
        <v>6.2578222778469526E-4</v>
      </c>
      <c r="AO7" s="55">
        <v>155.5</v>
      </c>
      <c r="AP7" s="56">
        <f t="shared" ref="AP7:AP33" si="17">(AO7-AO6)/AO6</f>
        <v>2.0341207349081326E-2</v>
      </c>
      <c r="AQ7" s="55">
        <v>151.19999999999999</v>
      </c>
      <c r="AR7" s="56">
        <f t="shared" ref="AR7:AR33" si="18">(AQ7-AQ6)/AQ6</f>
        <v>1.9880715705764278E-3</v>
      </c>
      <c r="AS7" s="55">
        <v>161.69999999999999</v>
      </c>
      <c r="AT7" s="56">
        <f t="shared" ref="AT7:AT33" si="19">(AS7-AS6)/AS6</f>
        <v>2.4798512089273233E-3</v>
      </c>
      <c r="AU7" s="55">
        <v>146.19999999999999</v>
      </c>
      <c r="AV7" s="56">
        <f t="shared" ref="AV7:AV33" si="20">(AU7-AU6)/AU6</f>
        <v>7.5809786354238068E-3</v>
      </c>
      <c r="AW7" s="55">
        <v>152.6</v>
      </c>
      <c r="AX7" s="56">
        <f t="shared" ref="AX7:AX33" si="21">(AW7-AW6)/AW6</f>
        <v>7.2607260726072235E-3</v>
      </c>
      <c r="AY7" s="55">
        <v>160.19999999999999</v>
      </c>
      <c r="AZ7" s="56">
        <f t="shared" ref="AZ7:AZ33" si="22">(AY7-AY6)/AY6</f>
        <v>4.3887147335422488E-3</v>
      </c>
      <c r="BA7" s="55">
        <v>153.80000000000001</v>
      </c>
      <c r="BB7" s="56">
        <f t="shared" ref="BB7:BB33" si="23">(BA7-BA6)/BA6</f>
        <v>-1.2836970474967907E-2</v>
      </c>
      <c r="BC7" s="55">
        <v>153.80000000000001</v>
      </c>
      <c r="BD7" s="57">
        <f t="shared" ref="BD7:BD33" si="24">(BC7-BC6)/BC6</f>
        <v>2.6075619295958647E-3</v>
      </c>
    </row>
    <row r="8" spans="1:56" x14ac:dyDescent="0.3">
      <c r="A8" s="68">
        <v>2021</v>
      </c>
      <c r="B8" s="68" t="s">
        <v>37</v>
      </c>
      <c r="C8" s="69">
        <v>63.4</v>
      </c>
      <c r="D8" s="53">
        <f t="shared" si="0"/>
        <v>-2.0546887069365138E-2</v>
      </c>
      <c r="G8" s="36">
        <v>2021</v>
      </c>
      <c r="H8" s="36" t="s">
        <v>37</v>
      </c>
      <c r="I8" s="55">
        <v>144.30000000000001</v>
      </c>
      <c r="J8" s="56">
        <f t="shared" si="1"/>
        <v>1.3879250520473078E-3</v>
      </c>
      <c r="K8" s="55">
        <v>198</v>
      </c>
      <c r="L8" s="56">
        <f t="shared" si="2"/>
        <v>3.0176899063475607E-2</v>
      </c>
      <c r="M8" s="55">
        <v>164.6</v>
      </c>
      <c r="N8" s="56">
        <f t="shared" si="3"/>
        <v>4.8840048840047799E-3</v>
      </c>
      <c r="O8" s="55">
        <v>155.4</v>
      </c>
      <c r="P8" s="56">
        <f t="shared" si="4"/>
        <v>3.2278889606197547E-3</v>
      </c>
      <c r="Q8" s="55">
        <v>170.1</v>
      </c>
      <c r="R8" s="56">
        <f t="shared" si="5"/>
        <v>3.7827943868212255E-2</v>
      </c>
      <c r="S8" s="55">
        <v>164.4</v>
      </c>
      <c r="T8" s="56">
        <f t="shared" si="6"/>
        <v>6.9616135328562256E-2</v>
      </c>
      <c r="U8" s="55">
        <v>144.1</v>
      </c>
      <c r="V8" s="56">
        <f t="shared" si="7"/>
        <v>-3.6120401337792679E-2</v>
      </c>
      <c r="W8" s="55">
        <v>161.69999999999999</v>
      </c>
      <c r="X8" s="56">
        <f t="shared" si="8"/>
        <v>1.1889862327909744E-2</v>
      </c>
      <c r="Y8" s="55">
        <v>113.1</v>
      </c>
      <c r="Z8" s="56">
        <f t="shared" si="9"/>
        <v>4.4208664898320073E-3</v>
      </c>
      <c r="AA8" s="55">
        <v>163.9</v>
      </c>
      <c r="AB8" s="56">
        <f t="shared" si="10"/>
        <v>2.4464831804281695E-3</v>
      </c>
      <c r="AC8" s="55">
        <v>157.6</v>
      </c>
      <c r="AD8" s="56">
        <f t="shared" si="11"/>
        <v>7.0287539936101876E-3</v>
      </c>
      <c r="AE8" s="55">
        <v>168.9</v>
      </c>
      <c r="AF8" s="56">
        <f t="shared" si="12"/>
        <v>4.1617122473247151E-3</v>
      </c>
      <c r="AG8" s="55">
        <v>188.8</v>
      </c>
      <c r="AH8" s="56">
        <f t="shared" si="13"/>
        <v>3.7214247740564436E-3</v>
      </c>
      <c r="AI8" s="55">
        <v>158.80000000000001</v>
      </c>
      <c r="AJ8" s="56">
        <f t="shared" si="14"/>
        <v>6.3371356147021544E-3</v>
      </c>
      <c r="AK8" s="55">
        <v>148.5</v>
      </c>
      <c r="AL8" s="56">
        <f t="shared" si="15"/>
        <v>4.0567951318458036E-3</v>
      </c>
      <c r="AM8" s="55">
        <v>161.4</v>
      </c>
      <c r="AN8" s="56">
        <f t="shared" si="16"/>
        <v>9.3808630393996239E-3</v>
      </c>
      <c r="AO8" s="55">
        <v>155.6</v>
      </c>
      <c r="AP8" s="56">
        <f t="shared" si="17"/>
        <v>6.4308681672022071E-4</v>
      </c>
      <c r="AQ8" s="55">
        <v>151.80000000000001</v>
      </c>
      <c r="AR8" s="56">
        <f t="shared" si="18"/>
        <v>3.968253968254119E-3</v>
      </c>
      <c r="AS8" s="55">
        <v>162.30000000000001</v>
      </c>
      <c r="AT8" s="56">
        <f t="shared" si="19"/>
        <v>3.7105751391467087E-3</v>
      </c>
      <c r="AU8" s="55">
        <v>146.6</v>
      </c>
      <c r="AV8" s="56">
        <f t="shared" si="20"/>
        <v>2.7359781121751416E-3</v>
      </c>
      <c r="AW8" s="55">
        <v>153.19999999999999</v>
      </c>
      <c r="AX8" s="56">
        <f t="shared" si="21"/>
        <v>3.9318479685451794E-3</v>
      </c>
      <c r="AY8" s="55">
        <v>160.30000000000001</v>
      </c>
      <c r="AZ8" s="56">
        <f t="shared" si="22"/>
        <v>6.2421972534346278E-4</v>
      </c>
      <c r="BA8" s="55">
        <v>155.4</v>
      </c>
      <c r="BB8" s="56">
        <f t="shared" si="23"/>
        <v>1.0403120936280846E-2</v>
      </c>
      <c r="BC8" s="55">
        <v>154.4</v>
      </c>
      <c r="BD8" s="57">
        <f t="shared" si="24"/>
        <v>3.9011703511052944E-3</v>
      </c>
    </row>
    <row r="9" spans="1:56" x14ac:dyDescent="0.3">
      <c r="A9" s="66">
        <v>2021</v>
      </c>
      <c r="B9" s="66" t="s">
        <v>38</v>
      </c>
      <c r="C9" s="67">
        <v>66.95</v>
      </c>
      <c r="D9" s="53">
        <f t="shared" si="0"/>
        <v>5.5993690851735084E-2</v>
      </c>
      <c r="G9" s="36">
        <v>2021</v>
      </c>
      <c r="H9" s="36" t="s">
        <v>38</v>
      </c>
      <c r="I9" s="55">
        <v>146.30000000000001</v>
      </c>
      <c r="J9" s="56">
        <f t="shared" si="1"/>
        <v>1.386001386001386E-2</v>
      </c>
      <c r="K9" s="55">
        <v>200.5</v>
      </c>
      <c r="L9" s="56">
        <f t="shared" si="2"/>
        <v>1.2626262626262626E-2</v>
      </c>
      <c r="M9" s="55">
        <v>170.3</v>
      </c>
      <c r="N9" s="56">
        <f t="shared" si="3"/>
        <v>3.4629404617254056E-2</v>
      </c>
      <c r="O9" s="55">
        <v>156.1</v>
      </c>
      <c r="P9" s="56">
        <f t="shared" si="4"/>
        <v>4.5045045045044316E-3</v>
      </c>
      <c r="Q9" s="55">
        <v>178.7</v>
      </c>
      <c r="R9" s="56">
        <f t="shared" si="5"/>
        <v>5.0558495002939415E-2</v>
      </c>
      <c r="S9" s="55">
        <v>167.1</v>
      </c>
      <c r="T9" s="56">
        <f t="shared" si="6"/>
        <v>1.6423357664233508E-2</v>
      </c>
      <c r="U9" s="55">
        <v>147.9</v>
      </c>
      <c r="V9" s="56">
        <f t="shared" si="7"/>
        <v>2.637057598889668E-2</v>
      </c>
      <c r="W9" s="55">
        <v>165.4</v>
      </c>
      <c r="X9" s="56">
        <f t="shared" si="8"/>
        <v>2.2881880024737275E-2</v>
      </c>
      <c r="Y9" s="55">
        <v>114.8</v>
      </c>
      <c r="Z9" s="56">
        <f t="shared" si="9"/>
        <v>1.4808362369338005E-2</v>
      </c>
      <c r="AA9" s="55">
        <v>168.2</v>
      </c>
      <c r="AB9" s="56">
        <f t="shared" si="10"/>
        <v>2.6235509456985863E-2</v>
      </c>
      <c r="AC9" s="55">
        <v>159.30000000000001</v>
      </c>
      <c r="AD9" s="56">
        <f t="shared" si="11"/>
        <v>1.0786802030456961E-2</v>
      </c>
      <c r="AE9" s="55">
        <v>170.4</v>
      </c>
      <c r="AF9" s="56">
        <f t="shared" si="12"/>
        <v>8.8809946714031966E-3</v>
      </c>
      <c r="AG9" s="55">
        <v>191.9</v>
      </c>
      <c r="AH9" s="56">
        <f t="shared" si="13"/>
        <v>1.6419491525423699E-2</v>
      </c>
      <c r="AI9" s="55">
        <v>161.80000000000001</v>
      </c>
      <c r="AJ9" s="56">
        <f t="shared" si="14"/>
        <v>1.8891687657430729E-2</v>
      </c>
      <c r="AK9" s="55">
        <v>152.1</v>
      </c>
      <c r="AL9" s="56">
        <f t="shared" si="15"/>
        <v>2.4242424242424204E-2</v>
      </c>
      <c r="AM9" s="55">
        <v>161.6</v>
      </c>
      <c r="AN9" s="56">
        <f t="shared" si="16"/>
        <v>1.2391573729862988E-3</v>
      </c>
      <c r="AO9" s="55">
        <v>159.4</v>
      </c>
      <c r="AP9" s="56">
        <f t="shared" si="17"/>
        <v>2.4421593830334265E-2</v>
      </c>
      <c r="AQ9" s="55">
        <v>154.69999999999999</v>
      </c>
      <c r="AR9" s="56">
        <f t="shared" si="18"/>
        <v>1.9104084321475475E-2</v>
      </c>
      <c r="AS9" s="55">
        <v>165.8</v>
      </c>
      <c r="AT9" s="56">
        <f t="shared" si="19"/>
        <v>2.1565003080714726E-2</v>
      </c>
      <c r="AU9" s="55">
        <v>148.9</v>
      </c>
      <c r="AV9" s="56">
        <f t="shared" si="20"/>
        <v>1.568894952251031E-2</v>
      </c>
      <c r="AW9" s="55">
        <v>155.80000000000001</v>
      </c>
      <c r="AX9" s="56">
        <f t="shared" si="21"/>
        <v>1.6971279373368297E-2</v>
      </c>
      <c r="AY9" s="55">
        <v>161.19999999999999</v>
      </c>
      <c r="AZ9" s="56">
        <f t="shared" si="22"/>
        <v>5.6144728633810183E-3</v>
      </c>
      <c r="BA9" s="55">
        <v>158.6</v>
      </c>
      <c r="BB9" s="56">
        <f t="shared" si="23"/>
        <v>2.0592020592020518E-2</v>
      </c>
      <c r="BC9" s="55">
        <v>156.80000000000001</v>
      </c>
      <c r="BD9" s="57">
        <f t="shared" si="24"/>
        <v>1.5544041450777238E-2</v>
      </c>
    </row>
    <row r="10" spans="1:56" x14ac:dyDescent="0.3">
      <c r="A10" s="68">
        <v>2021</v>
      </c>
      <c r="B10" s="68" t="s">
        <v>39</v>
      </c>
      <c r="C10" s="69">
        <v>71.98</v>
      </c>
      <c r="D10" s="53">
        <f t="shared" si="0"/>
        <v>7.5130694548170285E-2</v>
      </c>
      <c r="G10" s="36">
        <v>2021</v>
      </c>
      <c r="H10" s="36" t="s">
        <v>39</v>
      </c>
      <c r="I10" s="55">
        <v>146.69999999999999</v>
      </c>
      <c r="J10" s="56">
        <f t="shared" si="1"/>
        <v>2.7341079972657365E-3</v>
      </c>
      <c r="K10" s="55">
        <v>202</v>
      </c>
      <c r="L10" s="56">
        <f t="shared" si="2"/>
        <v>7.481296758104738E-3</v>
      </c>
      <c r="M10" s="55">
        <v>180.7</v>
      </c>
      <c r="N10" s="56">
        <f t="shared" si="3"/>
        <v>6.1068702290076202E-2</v>
      </c>
      <c r="O10" s="55">
        <v>156.19999999999999</v>
      </c>
      <c r="P10" s="56">
        <f t="shared" si="4"/>
        <v>6.4061499039073878E-4</v>
      </c>
      <c r="Q10" s="55">
        <v>183.7</v>
      </c>
      <c r="R10" s="56">
        <f t="shared" si="5"/>
        <v>2.7979854504756579E-2</v>
      </c>
      <c r="S10" s="55">
        <v>164.6</v>
      </c>
      <c r="T10" s="56">
        <f t="shared" si="6"/>
        <v>-1.4961101137043686E-2</v>
      </c>
      <c r="U10" s="55">
        <v>155.4</v>
      </c>
      <c r="V10" s="56">
        <f t="shared" si="7"/>
        <v>5.0709939148073022E-2</v>
      </c>
      <c r="W10" s="55">
        <v>166</v>
      </c>
      <c r="X10" s="56">
        <f t="shared" si="8"/>
        <v>3.6275695284159267E-3</v>
      </c>
      <c r="Y10" s="55">
        <v>115.1</v>
      </c>
      <c r="Z10" s="56">
        <f t="shared" si="9"/>
        <v>2.6064291920069259E-3</v>
      </c>
      <c r="AA10" s="55">
        <v>168.5</v>
      </c>
      <c r="AB10" s="56">
        <f t="shared" si="10"/>
        <v>1.7835909631391878E-3</v>
      </c>
      <c r="AC10" s="55">
        <v>160</v>
      </c>
      <c r="AD10" s="56">
        <f t="shared" si="11"/>
        <v>4.394224733207712E-3</v>
      </c>
      <c r="AE10" s="55">
        <v>172.4</v>
      </c>
      <c r="AF10" s="56">
        <f t="shared" si="12"/>
        <v>1.1737089201877934E-2</v>
      </c>
      <c r="AG10" s="55">
        <v>190.8</v>
      </c>
      <c r="AH10" s="56">
        <f t="shared" si="13"/>
        <v>-5.7321521625846496E-3</v>
      </c>
      <c r="AI10" s="55">
        <v>162.19999999999999</v>
      </c>
      <c r="AJ10" s="56">
        <f t="shared" si="14"/>
        <v>2.4721878862792165E-3</v>
      </c>
      <c r="AK10" s="55">
        <v>151.80000000000001</v>
      </c>
      <c r="AL10" s="56">
        <f t="shared" si="15"/>
        <v>-1.9723865877710909E-3</v>
      </c>
      <c r="AM10" s="55">
        <v>160.5</v>
      </c>
      <c r="AN10" s="56">
        <f t="shared" si="16"/>
        <v>-6.8069306930692722E-3</v>
      </c>
      <c r="AO10" s="55">
        <v>159.80000000000001</v>
      </c>
      <c r="AP10" s="56">
        <f t="shared" si="17"/>
        <v>2.5094102885822186E-3</v>
      </c>
      <c r="AQ10" s="55">
        <v>154.80000000000001</v>
      </c>
      <c r="AR10" s="56">
        <f t="shared" si="18"/>
        <v>6.4641241111844047E-4</v>
      </c>
      <c r="AS10" s="55">
        <v>166.3</v>
      </c>
      <c r="AT10" s="56">
        <f t="shared" si="19"/>
        <v>3.0156815440289505E-3</v>
      </c>
      <c r="AU10" s="55">
        <v>150.69999999999999</v>
      </c>
      <c r="AV10" s="56">
        <f t="shared" si="20"/>
        <v>1.2088650100738636E-2</v>
      </c>
      <c r="AW10" s="55">
        <v>154.9</v>
      </c>
      <c r="AX10" s="56">
        <f t="shared" si="21"/>
        <v>-5.7766367137355949E-3</v>
      </c>
      <c r="AY10" s="55">
        <v>161.69999999999999</v>
      </c>
      <c r="AZ10" s="56">
        <f t="shared" si="22"/>
        <v>3.1017369727047149E-3</v>
      </c>
      <c r="BA10" s="55">
        <v>158.80000000000001</v>
      </c>
      <c r="BB10" s="56">
        <f t="shared" si="23"/>
        <v>1.2610340479194014E-3</v>
      </c>
      <c r="BC10" s="55">
        <v>157.6</v>
      </c>
      <c r="BD10" s="57">
        <f t="shared" si="24"/>
        <v>5.1020408163264218E-3</v>
      </c>
    </row>
    <row r="11" spans="1:56" x14ac:dyDescent="0.3">
      <c r="A11" s="66">
        <v>2021</v>
      </c>
      <c r="B11" s="66" t="s">
        <v>40</v>
      </c>
      <c r="C11" s="67">
        <v>73.540000000000006</v>
      </c>
      <c r="D11" s="53">
        <f t="shared" si="0"/>
        <v>2.1672686857460436E-2</v>
      </c>
      <c r="G11" s="36">
        <v>2021</v>
      </c>
      <c r="H11" s="36" t="s">
        <v>40</v>
      </c>
      <c r="I11" s="55">
        <v>146.4</v>
      </c>
      <c r="J11" s="56">
        <f t="shared" si="1"/>
        <v>-2.0449897750510087E-3</v>
      </c>
      <c r="K11" s="55">
        <v>206.8</v>
      </c>
      <c r="L11" s="56">
        <f t="shared" si="2"/>
        <v>2.3762376237623818E-2</v>
      </c>
      <c r="M11" s="55">
        <v>182.2</v>
      </c>
      <c r="N11" s="56">
        <f t="shared" si="3"/>
        <v>8.3010514665190927E-3</v>
      </c>
      <c r="O11" s="55">
        <v>157.5</v>
      </c>
      <c r="P11" s="56">
        <f t="shared" si="4"/>
        <v>8.32266325224079E-3</v>
      </c>
      <c r="Q11" s="55">
        <v>182.1</v>
      </c>
      <c r="R11" s="56">
        <f t="shared" si="5"/>
        <v>-8.7098530212302364E-3</v>
      </c>
      <c r="S11" s="55">
        <v>163.9</v>
      </c>
      <c r="T11" s="56">
        <f t="shared" si="6"/>
        <v>-4.2527339003644513E-3</v>
      </c>
      <c r="U11" s="55">
        <v>164.2</v>
      </c>
      <c r="V11" s="56">
        <f t="shared" si="7"/>
        <v>5.662805662805652E-2</v>
      </c>
      <c r="W11" s="55">
        <v>164</v>
      </c>
      <c r="X11" s="56">
        <f t="shared" si="8"/>
        <v>-1.2048192771084338E-2</v>
      </c>
      <c r="Y11" s="55">
        <v>114.5</v>
      </c>
      <c r="Z11" s="56">
        <f t="shared" si="9"/>
        <v>-5.2401746724890334E-3</v>
      </c>
      <c r="AA11" s="55">
        <v>168.3</v>
      </c>
      <c r="AB11" s="56">
        <f t="shared" si="10"/>
        <v>-1.1869436201779741E-3</v>
      </c>
      <c r="AC11" s="55">
        <v>160.9</v>
      </c>
      <c r="AD11" s="56">
        <f t="shared" si="11"/>
        <v>5.6250000000000354E-3</v>
      </c>
      <c r="AE11" s="55">
        <v>172.2</v>
      </c>
      <c r="AF11" s="56">
        <f t="shared" si="12"/>
        <v>-1.1600928074246928E-3</v>
      </c>
      <c r="AG11" s="55">
        <v>191.2</v>
      </c>
      <c r="AH11" s="56">
        <f t="shared" si="13"/>
        <v>2.0964360587000905E-3</v>
      </c>
      <c r="AI11" s="55">
        <v>162.80000000000001</v>
      </c>
      <c r="AJ11" s="56">
        <f t="shared" si="14"/>
        <v>3.6991368680642589E-3</v>
      </c>
      <c r="AK11" s="55">
        <v>153.1</v>
      </c>
      <c r="AL11" s="56">
        <f t="shared" si="15"/>
        <v>8.5638998682475813E-3</v>
      </c>
      <c r="AM11" s="55">
        <v>161.5</v>
      </c>
      <c r="AN11" s="56">
        <f t="shared" si="16"/>
        <v>6.2305295950155761E-3</v>
      </c>
      <c r="AO11" s="55">
        <v>160.69999999999999</v>
      </c>
      <c r="AP11" s="56">
        <f t="shared" si="17"/>
        <v>5.6320400500624356E-3</v>
      </c>
      <c r="AQ11" s="55">
        <v>155.80000000000001</v>
      </c>
      <c r="AR11" s="56">
        <f t="shared" si="18"/>
        <v>6.4599483204134363E-3</v>
      </c>
      <c r="AS11" s="55">
        <v>167</v>
      </c>
      <c r="AT11" s="56">
        <f t="shared" si="19"/>
        <v>4.2092603728201361E-3</v>
      </c>
      <c r="AU11" s="55">
        <v>153.1</v>
      </c>
      <c r="AV11" s="56">
        <f t="shared" si="20"/>
        <v>1.5925680159256841E-2</v>
      </c>
      <c r="AW11" s="55">
        <v>155.30000000000001</v>
      </c>
      <c r="AX11" s="56">
        <f t="shared" si="21"/>
        <v>2.5823111684958404E-3</v>
      </c>
      <c r="AY11" s="55">
        <v>163.19999999999999</v>
      </c>
      <c r="AZ11" s="56">
        <f t="shared" si="22"/>
        <v>9.2764378478664197E-3</v>
      </c>
      <c r="BA11" s="55">
        <v>160.1</v>
      </c>
      <c r="BB11" s="56">
        <f t="shared" si="23"/>
        <v>8.1863979848865419E-3</v>
      </c>
      <c r="BC11" s="55">
        <v>159</v>
      </c>
      <c r="BD11" s="57">
        <f t="shared" si="24"/>
        <v>8.883248730964504E-3</v>
      </c>
    </row>
    <row r="12" spans="1:56" x14ac:dyDescent="0.3">
      <c r="A12" s="68">
        <v>2021</v>
      </c>
      <c r="B12" s="68" t="s">
        <v>41</v>
      </c>
      <c r="C12" s="69">
        <v>69.8</v>
      </c>
      <c r="D12" s="53">
        <f t="shared" si="0"/>
        <v>-5.0856676638564163E-2</v>
      </c>
      <c r="G12" s="36">
        <v>2021</v>
      </c>
      <c r="H12" s="36" t="s">
        <v>41</v>
      </c>
      <c r="I12" s="55">
        <v>146.6</v>
      </c>
      <c r="J12" s="56">
        <f t="shared" si="1"/>
        <v>1.3661202185791573E-3</v>
      </c>
      <c r="K12" s="55">
        <v>204</v>
      </c>
      <c r="L12" s="56">
        <f t="shared" si="2"/>
        <v>-1.3539651837524232E-2</v>
      </c>
      <c r="M12" s="55">
        <v>172.8</v>
      </c>
      <c r="N12" s="56">
        <f t="shared" si="3"/>
        <v>-5.1591657519209536E-2</v>
      </c>
      <c r="O12" s="55">
        <v>158.4</v>
      </c>
      <c r="P12" s="56">
        <f t="shared" si="4"/>
        <v>5.7142857142857507E-3</v>
      </c>
      <c r="Q12" s="55">
        <v>188</v>
      </c>
      <c r="R12" s="56">
        <f t="shared" si="5"/>
        <v>3.2399780340472299E-2</v>
      </c>
      <c r="S12" s="55">
        <v>156.80000000000001</v>
      </c>
      <c r="T12" s="56">
        <f t="shared" si="6"/>
        <v>-4.3319097010372141E-2</v>
      </c>
      <c r="U12" s="55">
        <v>162.19999999999999</v>
      </c>
      <c r="V12" s="56">
        <f t="shared" si="7"/>
        <v>-1.2180267965895251E-2</v>
      </c>
      <c r="W12" s="55">
        <v>164.1</v>
      </c>
      <c r="X12" s="56">
        <f t="shared" si="8"/>
        <v>6.0975609756094091E-4</v>
      </c>
      <c r="Y12" s="55">
        <v>119.7</v>
      </c>
      <c r="Z12" s="56">
        <f t="shared" si="9"/>
        <v>4.3441938178780309E-2</v>
      </c>
      <c r="AA12" s="55">
        <v>168.8</v>
      </c>
      <c r="AB12" s="56">
        <f t="shared" si="10"/>
        <v>2.9708853238265003E-3</v>
      </c>
      <c r="AC12" s="55">
        <v>162.69999999999999</v>
      </c>
      <c r="AD12" s="56">
        <f t="shared" si="11"/>
        <v>1.1187072715972548E-2</v>
      </c>
      <c r="AE12" s="55">
        <v>173.9</v>
      </c>
      <c r="AF12" s="56">
        <f t="shared" si="12"/>
        <v>9.872241579558752E-3</v>
      </c>
      <c r="AG12" s="55">
        <v>192.1</v>
      </c>
      <c r="AH12" s="56">
        <f t="shared" si="13"/>
        <v>4.7071129707113267E-3</v>
      </c>
      <c r="AI12" s="55">
        <v>164.5</v>
      </c>
      <c r="AJ12" s="56">
        <f t="shared" si="14"/>
        <v>1.0442260442260373E-2</v>
      </c>
      <c r="AK12" s="55">
        <v>155.30000000000001</v>
      </c>
      <c r="AL12" s="56">
        <f t="shared" si="15"/>
        <v>1.4369693011103966E-2</v>
      </c>
      <c r="AM12" s="55">
        <v>162.1</v>
      </c>
      <c r="AN12" s="56">
        <f t="shared" si="16"/>
        <v>3.7151702786377356E-3</v>
      </c>
      <c r="AO12" s="55">
        <v>162.6</v>
      </c>
      <c r="AP12" s="56">
        <f t="shared" si="17"/>
        <v>1.1823273179838244E-2</v>
      </c>
      <c r="AQ12" s="55">
        <v>157.5</v>
      </c>
      <c r="AR12" s="56">
        <f t="shared" si="18"/>
        <v>1.0911424903722648E-2</v>
      </c>
      <c r="AS12" s="55">
        <v>168.4</v>
      </c>
      <c r="AT12" s="56">
        <f t="shared" si="19"/>
        <v>8.3832335329341659E-3</v>
      </c>
      <c r="AU12" s="55">
        <v>154</v>
      </c>
      <c r="AV12" s="56">
        <f t="shared" si="20"/>
        <v>5.8785107772697954E-3</v>
      </c>
      <c r="AW12" s="55">
        <v>157.6</v>
      </c>
      <c r="AX12" s="56">
        <f t="shared" si="21"/>
        <v>1.4810045074050114E-2</v>
      </c>
      <c r="AY12" s="55">
        <v>163.80000000000001</v>
      </c>
      <c r="AZ12" s="56">
        <f t="shared" si="22"/>
        <v>3.6764705882354337E-3</v>
      </c>
      <c r="BA12" s="55">
        <v>160</v>
      </c>
      <c r="BB12" s="56">
        <f t="shared" si="23"/>
        <v>-6.2460961898809693E-4</v>
      </c>
      <c r="BC12" s="55">
        <v>160</v>
      </c>
      <c r="BD12" s="57">
        <f t="shared" si="24"/>
        <v>6.2893081761006293E-3</v>
      </c>
    </row>
    <row r="13" spans="1:56" x14ac:dyDescent="0.3">
      <c r="A13" s="66">
        <v>2021</v>
      </c>
      <c r="B13" s="66" t="s">
        <v>42</v>
      </c>
      <c r="C13" s="67">
        <v>72.91</v>
      </c>
      <c r="D13" s="53">
        <f t="shared" si="0"/>
        <v>4.4555873925501428E-2</v>
      </c>
      <c r="G13" s="36">
        <v>2021</v>
      </c>
      <c r="H13" s="36" t="s">
        <v>42</v>
      </c>
      <c r="I13" s="55">
        <v>146.6</v>
      </c>
      <c r="J13" s="56">
        <f t="shared" si="1"/>
        <v>0</v>
      </c>
      <c r="K13" s="55">
        <v>204</v>
      </c>
      <c r="L13" s="56">
        <f t="shared" si="2"/>
        <v>0</v>
      </c>
      <c r="M13" s="55">
        <v>172.8</v>
      </c>
      <c r="N13" s="56">
        <f t="shared" si="3"/>
        <v>0</v>
      </c>
      <c r="O13" s="55">
        <v>158.4</v>
      </c>
      <c r="P13" s="56">
        <f t="shared" si="4"/>
        <v>0</v>
      </c>
      <c r="Q13" s="55">
        <v>188</v>
      </c>
      <c r="R13" s="56">
        <f t="shared" si="5"/>
        <v>0</v>
      </c>
      <c r="S13" s="55">
        <v>156.69999999999999</v>
      </c>
      <c r="T13" s="56">
        <f t="shared" si="6"/>
        <v>-6.3775510204096134E-4</v>
      </c>
      <c r="U13" s="55">
        <v>162.30000000000001</v>
      </c>
      <c r="V13" s="56">
        <f t="shared" si="7"/>
        <v>6.1652281134415992E-4</v>
      </c>
      <c r="W13" s="55">
        <v>164.1</v>
      </c>
      <c r="X13" s="56">
        <f t="shared" si="8"/>
        <v>0</v>
      </c>
      <c r="Y13" s="55">
        <v>119.7</v>
      </c>
      <c r="Z13" s="56">
        <f t="shared" si="9"/>
        <v>0</v>
      </c>
      <c r="AA13" s="55">
        <v>168.8</v>
      </c>
      <c r="AB13" s="56">
        <f t="shared" si="10"/>
        <v>0</v>
      </c>
      <c r="AC13" s="55">
        <v>162.69999999999999</v>
      </c>
      <c r="AD13" s="56">
        <f t="shared" si="11"/>
        <v>0</v>
      </c>
      <c r="AE13" s="55">
        <v>173.9</v>
      </c>
      <c r="AF13" s="56">
        <f t="shared" si="12"/>
        <v>0</v>
      </c>
      <c r="AG13" s="55">
        <v>192.1</v>
      </c>
      <c r="AH13" s="56">
        <f t="shared" si="13"/>
        <v>0</v>
      </c>
      <c r="AI13" s="55">
        <v>164.6</v>
      </c>
      <c r="AJ13" s="56">
        <f t="shared" si="14"/>
        <v>6.0790273556227549E-4</v>
      </c>
      <c r="AK13" s="55">
        <v>155.30000000000001</v>
      </c>
      <c r="AL13" s="56">
        <f t="shared" si="15"/>
        <v>0</v>
      </c>
      <c r="AM13" s="55">
        <v>162.1</v>
      </c>
      <c r="AN13" s="56">
        <f t="shared" si="16"/>
        <v>0</v>
      </c>
      <c r="AO13" s="55">
        <v>162.6</v>
      </c>
      <c r="AP13" s="56">
        <f t="shared" si="17"/>
        <v>0</v>
      </c>
      <c r="AQ13" s="55">
        <v>157.5</v>
      </c>
      <c r="AR13" s="56">
        <f t="shared" si="18"/>
        <v>0</v>
      </c>
      <c r="AS13" s="55">
        <v>168.4</v>
      </c>
      <c r="AT13" s="56">
        <f t="shared" si="19"/>
        <v>0</v>
      </c>
      <c r="AU13" s="55">
        <v>154</v>
      </c>
      <c r="AV13" s="56">
        <f t="shared" si="20"/>
        <v>0</v>
      </c>
      <c r="AW13" s="55">
        <v>157.69999999999999</v>
      </c>
      <c r="AX13" s="56">
        <f t="shared" si="21"/>
        <v>6.3451776649742588E-4</v>
      </c>
      <c r="AY13" s="55">
        <v>163.69999999999999</v>
      </c>
      <c r="AZ13" s="56">
        <f t="shared" si="22"/>
        <v>-6.1050061050074928E-4</v>
      </c>
      <c r="BA13" s="55">
        <v>160</v>
      </c>
      <c r="BB13" s="56">
        <f t="shared" si="23"/>
        <v>0</v>
      </c>
      <c r="BC13" s="55">
        <v>160</v>
      </c>
      <c r="BD13" s="57">
        <f t="shared" si="24"/>
        <v>0</v>
      </c>
    </row>
    <row r="14" spans="1:56" x14ac:dyDescent="0.3">
      <c r="A14" s="68">
        <v>2021</v>
      </c>
      <c r="B14" s="68" t="s">
        <v>43</v>
      </c>
      <c r="C14" s="69">
        <v>82.11</v>
      </c>
      <c r="D14" s="53">
        <f t="shared" si="0"/>
        <v>0.12618296529968459</v>
      </c>
      <c r="G14" s="36">
        <v>2021</v>
      </c>
      <c r="H14" s="36" t="s">
        <v>43</v>
      </c>
      <c r="I14" s="55">
        <v>147.4</v>
      </c>
      <c r="J14" s="56">
        <f t="shared" si="1"/>
        <v>5.4570259208732022E-3</v>
      </c>
      <c r="K14" s="55">
        <v>204.6</v>
      </c>
      <c r="L14" s="56">
        <f t="shared" si="2"/>
        <v>2.9411764705882075E-3</v>
      </c>
      <c r="M14" s="55">
        <v>171.2</v>
      </c>
      <c r="N14" s="56">
        <f t="shared" si="3"/>
        <v>-9.2592592592593906E-3</v>
      </c>
      <c r="O14" s="55">
        <v>158.69999999999999</v>
      </c>
      <c r="P14" s="56">
        <f t="shared" si="4"/>
        <v>1.8939393939392862E-3</v>
      </c>
      <c r="Q14" s="55">
        <v>190.6</v>
      </c>
      <c r="R14" s="56">
        <f t="shared" si="5"/>
        <v>1.3829787234042523E-2</v>
      </c>
      <c r="S14" s="55">
        <v>155.69999999999999</v>
      </c>
      <c r="T14" s="56">
        <f t="shared" si="6"/>
        <v>-6.3816209317166563E-3</v>
      </c>
      <c r="U14" s="55">
        <v>185.3</v>
      </c>
      <c r="V14" s="56">
        <f t="shared" si="7"/>
        <v>0.14171287738755389</v>
      </c>
      <c r="W14" s="55">
        <v>165.2</v>
      </c>
      <c r="X14" s="56">
        <f t="shared" si="8"/>
        <v>6.7032297379646215E-3</v>
      </c>
      <c r="Y14" s="55">
        <v>121.9</v>
      </c>
      <c r="Z14" s="56">
        <f t="shared" si="9"/>
        <v>1.8047579983593132E-2</v>
      </c>
      <c r="AA14" s="55">
        <v>169.3</v>
      </c>
      <c r="AB14" s="56">
        <f t="shared" si="10"/>
        <v>2.9620853080568718E-3</v>
      </c>
      <c r="AC14" s="55">
        <v>163.19999999999999</v>
      </c>
      <c r="AD14" s="56">
        <f t="shared" si="11"/>
        <v>3.0731407498463433E-3</v>
      </c>
      <c r="AE14" s="55">
        <v>174.7</v>
      </c>
      <c r="AF14" s="56">
        <f t="shared" si="12"/>
        <v>4.6003450258768428E-3</v>
      </c>
      <c r="AG14" s="55">
        <v>192.7</v>
      </c>
      <c r="AH14" s="56">
        <f t="shared" si="13"/>
        <v>3.1233732431025212E-3</v>
      </c>
      <c r="AI14" s="55">
        <v>165.7</v>
      </c>
      <c r="AJ14" s="56">
        <f t="shared" si="14"/>
        <v>6.6828675577156405E-3</v>
      </c>
      <c r="AK14" s="55">
        <v>156.30000000000001</v>
      </c>
      <c r="AL14" s="56">
        <f t="shared" si="15"/>
        <v>6.4391500321957498E-3</v>
      </c>
      <c r="AM14" s="55">
        <v>163.6</v>
      </c>
      <c r="AN14" s="56">
        <f t="shared" si="16"/>
        <v>9.2535471930906849E-3</v>
      </c>
      <c r="AO14" s="55">
        <v>164.2</v>
      </c>
      <c r="AP14" s="56">
        <f t="shared" si="17"/>
        <v>9.8400984009839754E-3</v>
      </c>
      <c r="AQ14" s="55">
        <v>158.4</v>
      </c>
      <c r="AR14" s="56">
        <f t="shared" si="18"/>
        <v>5.7142857142857507E-3</v>
      </c>
      <c r="AS14" s="55">
        <v>169.1</v>
      </c>
      <c r="AT14" s="56">
        <f t="shared" si="19"/>
        <v>4.1567695961994573E-3</v>
      </c>
      <c r="AU14" s="55">
        <v>155.69999999999999</v>
      </c>
      <c r="AV14" s="56">
        <f t="shared" si="20"/>
        <v>1.1038961038960965E-2</v>
      </c>
      <c r="AW14" s="55">
        <v>158.6</v>
      </c>
      <c r="AX14" s="56">
        <f t="shared" si="21"/>
        <v>5.7070386810399859E-3</v>
      </c>
      <c r="AY14" s="55">
        <v>163.9</v>
      </c>
      <c r="AZ14" s="56">
        <f t="shared" si="22"/>
        <v>1.2217470983507458E-3</v>
      </c>
      <c r="BA14" s="55">
        <v>160.80000000000001</v>
      </c>
      <c r="BB14" s="56">
        <f t="shared" si="23"/>
        <v>5.0000000000000712E-3</v>
      </c>
      <c r="BC14" s="55">
        <v>161</v>
      </c>
      <c r="BD14" s="57">
        <f t="shared" si="24"/>
        <v>6.2500000000000003E-3</v>
      </c>
    </row>
    <row r="15" spans="1:56" x14ac:dyDescent="0.3">
      <c r="A15" s="66">
        <v>2021</v>
      </c>
      <c r="B15" s="66" t="s">
        <v>45</v>
      </c>
      <c r="C15" s="67">
        <v>80.64</v>
      </c>
      <c r="D15" s="53">
        <f t="shared" si="0"/>
        <v>-1.7902813299232722E-2</v>
      </c>
      <c r="G15" s="36">
        <v>2021</v>
      </c>
      <c r="H15" s="36" t="s">
        <v>45</v>
      </c>
      <c r="I15" s="55">
        <v>148.19999999999999</v>
      </c>
      <c r="J15" s="56">
        <f t="shared" si="1"/>
        <v>5.4274084124829236E-3</v>
      </c>
      <c r="K15" s="55">
        <v>201.6</v>
      </c>
      <c r="L15" s="56">
        <f t="shared" si="2"/>
        <v>-1.466275659824047E-2</v>
      </c>
      <c r="M15" s="55">
        <v>173</v>
      </c>
      <c r="N15" s="56">
        <f t="shared" si="3"/>
        <v>1.0514018691588852E-2</v>
      </c>
      <c r="O15" s="55">
        <v>159.30000000000001</v>
      </c>
      <c r="P15" s="56">
        <f t="shared" si="4"/>
        <v>3.7807183364840756E-3</v>
      </c>
      <c r="Q15" s="55">
        <v>190.1</v>
      </c>
      <c r="R15" s="56">
        <f t="shared" si="5"/>
        <v>-2.6232948583420779E-3</v>
      </c>
      <c r="S15" s="55">
        <v>156.5</v>
      </c>
      <c r="T15" s="56">
        <f t="shared" si="6"/>
        <v>5.1380860629416276E-3</v>
      </c>
      <c r="U15" s="55">
        <v>199.2</v>
      </c>
      <c r="V15" s="56">
        <f t="shared" si="7"/>
        <v>7.5013491635186058E-2</v>
      </c>
      <c r="W15" s="55">
        <v>165.3</v>
      </c>
      <c r="X15" s="56">
        <f t="shared" si="8"/>
        <v>6.0532687651345491E-4</v>
      </c>
      <c r="Y15" s="55">
        <v>122.4</v>
      </c>
      <c r="Z15" s="56">
        <f t="shared" si="9"/>
        <v>4.0849673202614381E-3</v>
      </c>
      <c r="AA15" s="55">
        <v>169.6</v>
      </c>
      <c r="AB15" s="56">
        <f t="shared" si="10"/>
        <v>1.772002362669716E-3</v>
      </c>
      <c r="AC15" s="55">
        <v>163.69999999999999</v>
      </c>
      <c r="AD15" s="56">
        <f t="shared" si="11"/>
        <v>3.0637254901960788E-3</v>
      </c>
      <c r="AE15" s="55">
        <v>175.5</v>
      </c>
      <c r="AF15" s="56">
        <f t="shared" si="12"/>
        <v>4.5792787635947994E-3</v>
      </c>
      <c r="AG15" s="55">
        <v>192.9</v>
      </c>
      <c r="AH15" s="56">
        <f t="shared" si="13"/>
        <v>1.0378827192528131E-3</v>
      </c>
      <c r="AI15" s="55">
        <v>167.2</v>
      </c>
      <c r="AJ15" s="56">
        <f t="shared" si="14"/>
        <v>9.0525045262522634E-3</v>
      </c>
      <c r="AK15" s="55">
        <v>157.4</v>
      </c>
      <c r="AL15" s="56">
        <f t="shared" si="15"/>
        <v>7.03774792066535E-3</v>
      </c>
      <c r="AM15" s="55">
        <v>164.2</v>
      </c>
      <c r="AN15" s="56">
        <f t="shared" si="16"/>
        <v>3.6674816625916523E-3</v>
      </c>
      <c r="AO15" s="55">
        <v>163.9</v>
      </c>
      <c r="AP15" s="56">
        <f t="shared" si="17"/>
        <v>-1.8270401948841837E-3</v>
      </c>
      <c r="AQ15" s="55">
        <v>159.30000000000001</v>
      </c>
      <c r="AR15" s="56">
        <f t="shared" si="18"/>
        <v>5.6818181818182175E-3</v>
      </c>
      <c r="AS15" s="55">
        <v>169.9</v>
      </c>
      <c r="AT15" s="56">
        <f t="shared" si="19"/>
        <v>4.730928444707341E-3</v>
      </c>
      <c r="AU15" s="55">
        <v>154.80000000000001</v>
      </c>
      <c r="AV15" s="56">
        <f t="shared" si="20"/>
        <v>-5.7803468208091026E-3</v>
      </c>
      <c r="AW15" s="55">
        <v>159.80000000000001</v>
      </c>
      <c r="AX15" s="56">
        <f t="shared" si="21"/>
        <v>7.5662042875158705E-3</v>
      </c>
      <c r="AY15" s="55">
        <v>164.3</v>
      </c>
      <c r="AZ15" s="56">
        <f t="shared" si="22"/>
        <v>2.4405125076266362E-3</v>
      </c>
      <c r="BA15" s="55">
        <v>162.19999999999999</v>
      </c>
      <c r="BB15" s="56">
        <f t="shared" si="23"/>
        <v>8.7064676616914003E-3</v>
      </c>
      <c r="BC15" s="55">
        <v>161.4</v>
      </c>
      <c r="BD15" s="57">
        <f t="shared" si="24"/>
        <v>2.4844720496894762E-3</v>
      </c>
    </row>
    <row r="16" spans="1:56" x14ac:dyDescent="0.3">
      <c r="A16" s="68">
        <v>2021</v>
      </c>
      <c r="B16" s="68" t="s">
        <v>46</v>
      </c>
      <c r="C16" s="69">
        <v>73.3</v>
      </c>
      <c r="D16" s="53">
        <f t="shared" si="0"/>
        <v>-9.1021825396825434E-2</v>
      </c>
      <c r="G16" s="36">
        <v>2021</v>
      </c>
      <c r="H16" s="36" t="s">
        <v>46</v>
      </c>
      <c r="I16" s="55">
        <v>148.69999999999999</v>
      </c>
      <c r="J16" s="56">
        <f t="shared" si="1"/>
        <v>3.3738191632928477E-3</v>
      </c>
      <c r="K16" s="55">
        <v>198.8</v>
      </c>
      <c r="L16" s="56">
        <f t="shared" si="2"/>
        <v>-1.3888888888888805E-2</v>
      </c>
      <c r="M16" s="55">
        <v>177.9</v>
      </c>
      <c r="N16" s="56">
        <f t="shared" si="3"/>
        <v>2.8323699421965352E-2</v>
      </c>
      <c r="O16" s="55">
        <v>159.9</v>
      </c>
      <c r="P16" s="56">
        <f t="shared" si="4"/>
        <v>3.766478342749493E-3</v>
      </c>
      <c r="Q16" s="55">
        <v>187.6</v>
      </c>
      <c r="R16" s="56">
        <f t="shared" si="5"/>
        <v>-1.3150973172014729E-2</v>
      </c>
      <c r="S16" s="55">
        <v>154.9</v>
      </c>
      <c r="T16" s="56">
        <f t="shared" si="6"/>
        <v>-1.0223642172523926E-2</v>
      </c>
      <c r="U16" s="55">
        <v>188.3</v>
      </c>
      <c r="V16" s="56">
        <f t="shared" si="7"/>
        <v>-5.4718875502007921E-2</v>
      </c>
      <c r="W16" s="55">
        <v>164.4</v>
      </c>
      <c r="X16" s="56">
        <f t="shared" si="8"/>
        <v>-5.4446460980036634E-3</v>
      </c>
      <c r="Y16" s="55">
        <v>121</v>
      </c>
      <c r="Z16" s="56">
        <f t="shared" si="9"/>
        <v>-1.1570247933884344E-2</v>
      </c>
      <c r="AA16" s="55">
        <v>170.5</v>
      </c>
      <c r="AB16" s="56">
        <f t="shared" si="10"/>
        <v>5.3066037735849392E-3</v>
      </c>
      <c r="AC16" s="55">
        <v>164.2</v>
      </c>
      <c r="AD16" s="56">
        <f t="shared" si="11"/>
        <v>3.0543677458766036E-3</v>
      </c>
      <c r="AE16" s="55">
        <v>176.5</v>
      </c>
      <c r="AF16" s="56">
        <f t="shared" si="12"/>
        <v>5.6980056980056983E-3</v>
      </c>
      <c r="AG16" s="55">
        <v>192.4</v>
      </c>
      <c r="AH16" s="56">
        <f t="shared" si="13"/>
        <v>-2.592016588906169E-3</v>
      </c>
      <c r="AI16" s="55">
        <v>168.5</v>
      </c>
      <c r="AJ16" s="56">
        <f t="shared" si="14"/>
        <v>7.7751196172249487E-3</v>
      </c>
      <c r="AK16" s="55">
        <v>158.69999999999999</v>
      </c>
      <c r="AL16" s="56">
        <f t="shared" si="15"/>
        <v>8.2592121982209849E-3</v>
      </c>
      <c r="AM16" s="55">
        <v>163.4</v>
      </c>
      <c r="AN16" s="56">
        <f t="shared" si="16"/>
        <v>-4.8721071863579964E-3</v>
      </c>
      <c r="AO16" s="55">
        <v>164.1</v>
      </c>
      <c r="AP16" s="56">
        <f t="shared" si="17"/>
        <v>1.2202562538132314E-3</v>
      </c>
      <c r="AQ16" s="55">
        <v>160.19999999999999</v>
      </c>
      <c r="AR16" s="56">
        <f t="shared" si="18"/>
        <v>5.6497175141241507E-3</v>
      </c>
      <c r="AS16" s="55">
        <v>170.6</v>
      </c>
      <c r="AT16" s="56">
        <f t="shared" si="19"/>
        <v>4.1200706297821578E-3</v>
      </c>
      <c r="AU16" s="55">
        <v>155.69999999999999</v>
      </c>
      <c r="AV16" s="56">
        <f t="shared" si="20"/>
        <v>5.8139534883719455E-3</v>
      </c>
      <c r="AW16" s="55">
        <v>160.6</v>
      </c>
      <c r="AX16" s="56">
        <f t="shared" si="21"/>
        <v>5.0062578222777399E-3</v>
      </c>
      <c r="AY16" s="55">
        <v>164.4</v>
      </c>
      <c r="AZ16" s="56">
        <f t="shared" si="22"/>
        <v>6.0864272671938102E-4</v>
      </c>
      <c r="BA16" s="55">
        <v>162.6</v>
      </c>
      <c r="BB16" s="56">
        <f t="shared" si="23"/>
        <v>2.4660912453761141E-3</v>
      </c>
      <c r="BC16" s="55">
        <v>162</v>
      </c>
      <c r="BD16" s="57">
        <f t="shared" si="24"/>
        <v>3.7174721189590725E-3</v>
      </c>
    </row>
    <row r="17" spans="1:56" x14ac:dyDescent="0.3">
      <c r="A17" s="66">
        <v>2022</v>
      </c>
      <c r="B17" s="66" t="s">
        <v>31</v>
      </c>
      <c r="C17" s="67">
        <v>84.67</v>
      </c>
      <c r="D17" s="53">
        <f t="shared" si="0"/>
        <v>0.15511596180081863</v>
      </c>
      <c r="G17" s="36">
        <v>2022</v>
      </c>
      <c r="H17" s="36" t="s">
        <v>31</v>
      </c>
      <c r="I17" s="55">
        <v>149.5</v>
      </c>
      <c r="J17" s="56">
        <f t="shared" si="1"/>
        <v>5.3799596503026998E-3</v>
      </c>
      <c r="K17" s="55">
        <v>198.7</v>
      </c>
      <c r="L17" s="56">
        <f t="shared" si="2"/>
        <v>-5.0301810865202579E-4</v>
      </c>
      <c r="M17" s="55">
        <v>178.8</v>
      </c>
      <c r="N17" s="56">
        <f t="shared" si="3"/>
        <v>5.0590219224283623E-3</v>
      </c>
      <c r="O17" s="55">
        <v>160.5</v>
      </c>
      <c r="P17" s="56">
        <f t="shared" si="4"/>
        <v>3.7523452157598143E-3</v>
      </c>
      <c r="Q17" s="55">
        <v>184.7</v>
      </c>
      <c r="R17" s="56">
        <f t="shared" si="5"/>
        <v>-1.5458422174840116E-2</v>
      </c>
      <c r="S17" s="55">
        <v>153.69999999999999</v>
      </c>
      <c r="T17" s="56">
        <f t="shared" si="6"/>
        <v>-7.7469335054875209E-3</v>
      </c>
      <c r="U17" s="55">
        <v>174.3</v>
      </c>
      <c r="V17" s="56">
        <f t="shared" si="7"/>
        <v>-7.4349442379182146E-2</v>
      </c>
      <c r="W17" s="55">
        <v>163.9</v>
      </c>
      <c r="X17" s="56">
        <f t="shared" si="8"/>
        <v>-3.0413625304136251E-3</v>
      </c>
      <c r="Y17" s="55">
        <v>120</v>
      </c>
      <c r="Z17" s="56">
        <f t="shared" si="9"/>
        <v>-8.3333333333333332E-3</v>
      </c>
      <c r="AA17" s="55">
        <v>172.1</v>
      </c>
      <c r="AB17" s="56">
        <f t="shared" si="10"/>
        <v>9.3841642228738673E-3</v>
      </c>
      <c r="AC17" s="55">
        <v>164.3</v>
      </c>
      <c r="AD17" s="56">
        <f t="shared" si="11"/>
        <v>6.0901339829490101E-4</v>
      </c>
      <c r="AE17" s="55">
        <v>177.3</v>
      </c>
      <c r="AF17" s="56">
        <f t="shared" si="12"/>
        <v>4.5325779036827843E-3</v>
      </c>
      <c r="AG17" s="55">
        <v>192.2</v>
      </c>
      <c r="AH17" s="56">
        <f t="shared" si="13"/>
        <v>-1.039501039501128E-3</v>
      </c>
      <c r="AI17" s="55">
        <v>169.9</v>
      </c>
      <c r="AJ17" s="56">
        <f t="shared" si="14"/>
        <v>8.3086053412463248E-3</v>
      </c>
      <c r="AK17" s="55">
        <v>160.69999999999999</v>
      </c>
      <c r="AL17" s="56">
        <f t="shared" si="15"/>
        <v>1.2602394454946441E-2</v>
      </c>
      <c r="AM17" s="55">
        <v>164.5</v>
      </c>
      <c r="AN17" s="56">
        <f t="shared" si="16"/>
        <v>6.7319461444308093E-3</v>
      </c>
      <c r="AO17" s="55">
        <v>164.2</v>
      </c>
      <c r="AP17" s="56">
        <f t="shared" si="17"/>
        <v>6.0938452163311586E-4</v>
      </c>
      <c r="AQ17" s="55">
        <v>161.1</v>
      </c>
      <c r="AR17" s="56">
        <f t="shared" si="18"/>
        <v>5.6179775280899239E-3</v>
      </c>
      <c r="AS17" s="55">
        <v>171.4</v>
      </c>
      <c r="AT17" s="56">
        <f t="shared" si="19"/>
        <v>4.6893317702228097E-3</v>
      </c>
      <c r="AU17" s="55">
        <v>156.5</v>
      </c>
      <c r="AV17" s="56">
        <f t="shared" si="20"/>
        <v>5.1380860629416276E-3</v>
      </c>
      <c r="AW17" s="55">
        <v>161.19999999999999</v>
      </c>
      <c r="AX17" s="56">
        <f t="shared" si="21"/>
        <v>3.735990037359865E-3</v>
      </c>
      <c r="AY17" s="55">
        <v>164.7</v>
      </c>
      <c r="AZ17" s="56">
        <f t="shared" si="22"/>
        <v>1.8248175182480715E-3</v>
      </c>
      <c r="BA17" s="55">
        <v>163</v>
      </c>
      <c r="BB17" s="56">
        <f t="shared" si="23"/>
        <v>2.4600246002460377E-3</v>
      </c>
      <c r="BC17" s="55">
        <v>162.69999999999999</v>
      </c>
      <c r="BD17" s="57">
        <f t="shared" si="24"/>
        <v>4.3209876543209179E-3</v>
      </c>
    </row>
    <row r="18" spans="1:56" x14ac:dyDescent="0.3">
      <c r="A18" s="68">
        <v>2022</v>
      </c>
      <c r="B18" s="68" t="s">
        <v>35</v>
      </c>
      <c r="C18" s="69">
        <v>94.07</v>
      </c>
      <c r="D18" s="53">
        <f t="shared" si="0"/>
        <v>0.11101925121058216</v>
      </c>
      <c r="G18" s="36">
        <v>2022</v>
      </c>
      <c r="H18" s="36" t="s">
        <v>35</v>
      </c>
      <c r="I18" s="55">
        <v>150</v>
      </c>
      <c r="J18" s="56">
        <f t="shared" si="1"/>
        <v>3.3444816053511705E-3</v>
      </c>
      <c r="K18" s="55">
        <v>200.6</v>
      </c>
      <c r="L18" s="56">
        <f t="shared" si="2"/>
        <v>9.5621540010065714E-3</v>
      </c>
      <c r="M18" s="55">
        <v>175.8</v>
      </c>
      <c r="N18" s="56">
        <f t="shared" si="3"/>
        <v>-1.6778523489932886E-2</v>
      </c>
      <c r="O18" s="55">
        <v>160.69999999999999</v>
      </c>
      <c r="P18" s="56">
        <f t="shared" si="4"/>
        <v>1.2461059190030444E-3</v>
      </c>
      <c r="Q18" s="55">
        <v>184.9</v>
      </c>
      <c r="R18" s="56">
        <f t="shared" si="5"/>
        <v>1.0828370330266219E-3</v>
      </c>
      <c r="S18" s="55">
        <v>153.69999999999999</v>
      </c>
      <c r="T18" s="56">
        <f t="shared" si="6"/>
        <v>0</v>
      </c>
      <c r="U18" s="55">
        <v>169.7</v>
      </c>
      <c r="V18" s="56">
        <f t="shared" si="7"/>
        <v>-2.6391279403327726E-2</v>
      </c>
      <c r="W18" s="55">
        <v>163.69999999999999</v>
      </c>
      <c r="X18" s="56">
        <f t="shared" si="8"/>
        <v>-1.2202562538134048E-3</v>
      </c>
      <c r="Y18" s="55">
        <v>118.9</v>
      </c>
      <c r="Z18" s="56">
        <f t="shared" si="9"/>
        <v>-9.2514718250630307E-3</v>
      </c>
      <c r="AA18" s="55">
        <v>174.3</v>
      </c>
      <c r="AB18" s="56">
        <f t="shared" si="10"/>
        <v>1.2783265543288885E-2</v>
      </c>
      <c r="AC18" s="55">
        <v>164.7</v>
      </c>
      <c r="AD18" s="56">
        <f t="shared" si="11"/>
        <v>2.4345709068775241E-3</v>
      </c>
      <c r="AE18" s="55">
        <v>178</v>
      </c>
      <c r="AF18" s="56">
        <f t="shared" si="12"/>
        <v>3.948110547095254E-3</v>
      </c>
      <c r="AG18" s="55">
        <v>192.8</v>
      </c>
      <c r="AH18" s="56">
        <f t="shared" si="13"/>
        <v>3.1217481789803476E-3</v>
      </c>
      <c r="AI18" s="55">
        <v>170.8</v>
      </c>
      <c r="AJ18" s="56">
        <f t="shared" si="14"/>
        <v>5.297233666862894E-3</v>
      </c>
      <c r="AK18" s="55">
        <v>162.4</v>
      </c>
      <c r="AL18" s="56">
        <f t="shared" si="15"/>
        <v>1.0578718108276397E-2</v>
      </c>
      <c r="AM18" s="55">
        <v>165.5</v>
      </c>
      <c r="AN18" s="56">
        <f t="shared" si="16"/>
        <v>6.0790273556231003E-3</v>
      </c>
      <c r="AO18" s="55">
        <v>165.7</v>
      </c>
      <c r="AP18" s="56">
        <f t="shared" si="17"/>
        <v>9.1352009744214372E-3</v>
      </c>
      <c r="AQ18" s="55">
        <v>161.80000000000001</v>
      </c>
      <c r="AR18" s="56">
        <f t="shared" si="18"/>
        <v>4.3451272501552896E-3</v>
      </c>
      <c r="AS18" s="55">
        <v>172.2</v>
      </c>
      <c r="AT18" s="56">
        <f t="shared" si="19"/>
        <v>4.6674445740955833E-3</v>
      </c>
      <c r="AU18" s="55">
        <v>156.9</v>
      </c>
      <c r="AV18" s="56">
        <f t="shared" si="20"/>
        <v>2.5559105431310269E-3</v>
      </c>
      <c r="AW18" s="55">
        <v>162.1</v>
      </c>
      <c r="AX18" s="56">
        <f t="shared" si="21"/>
        <v>5.5831265508685217E-3</v>
      </c>
      <c r="AY18" s="55">
        <v>165.4</v>
      </c>
      <c r="AZ18" s="56">
        <f t="shared" si="22"/>
        <v>4.2501517911355015E-3</v>
      </c>
      <c r="BA18" s="55">
        <v>164.4</v>
      </c>
      <c r="BB18" s="56">
        <f t="shared" si="23"/>
        <v>8.5889570552147593E-3</v>
      </c>
      <c r="BC18" s="55">
        <v>163.5</v>
      </c>
      <c r="BD18" s="57">
        <f t="shared" si="24"/>
        <v>4.9170251997542186E-3</v>
      </c>
    </row>
    <row r="19" spans="1:56" x14ac:dyDescent="0.3">
      <c r="A19" s="66">
        <v>2022</v>
      </c>
      <c r="B19" s="66" t="s">
        <v>36</v>
      </c>
      <c r="C19" s="67">
        <v>112.87</v>
      </c>
      <c r="D19" s="53">
        <f t="shared" si="0"/>
        <v>0.19985117465717034</v>
      </c>
      <c r="G19" s="36">
        <v>2022</v>
      </c>
      <c r="H19" s="36" t="s">
        <v>36</v>
      </c>
      <c r="I19" s="55">
        <v>151.30000000000001</v>
      </c>
      <c r="J19" s="56">
        <f t="shared" si="1"/>
        <v>8.6666666666667426E-3</v>
      </c>
      <c r="K19" s="55">
        <v>210.7</v>
      </c>
      <c r="L19" s="56">
        <f t="shared" si="2"/>
        <v>5.0348953140578238E-2</v>
      </c>
      <c r="M19" s="55">
        <v>167.8</v>
      </c>
      <c r="N19" s="56">
        <f t="shared" si="3"/>
        <v>-4.5506257110352673E-2</v>
      </c>
      <c r="O19" s="55">
        <v>162.19999999999999</v>
      </c>
      <c r="P19" s="56">
        <f t="shared" si="4"/>
        <v>9.3341630367143758E-3</v>
      </c>
      <c r="Q19" s="55">
        <v>194.6</v>
      </c>
      <c r="R19" s="56">
        <f t="shared" si="5"/>
        <v>5.2460789616008592E-2</v>
      </c>
      <c r="S19" s="55">
        <v>157.6</v>
      </c>
      <c r="T19" s="56">
        <f t="shared" si="6"/>
        <v>2.5374105400130163E-2</v>
      </c>
      <c r="U19" s="55">
        <v>166.9</v>
      </c>
      <c r="V19" s="56">
        <f t="shared" si="7"/>
        <v>-1.6499705362404145E-2</v>
      </c>
      <c r="W19" s="55">
        <v>163.9</v>
      </c>
      <c r="X19" s="56">
        <f t="shared" si="8"/>
        <v>1.2217470983507458E-3</v>
      </c>
      <c r="Y19" s="55">
        <v>118.8</v>
      </c>
      <c r="Z19" s="56">
        <f t="shared" si="9"/>
        <v>-8.417508417509136E-4</v>
      </c>
      <c r="AA19" s="55">
        <v>177.4</v>
      </c>
      <c r="AB19" s="56">
        <f t="shared" si="10"/>
        <v>1.7785427423981606E-2</v>
      </c>
      <c r="AC19" s="55">
        <v>165.3</v>
      </c>
      <c r="AD19" s="56">
        <f t="shared" si="11"/>
        <v>3.6429872495447649E-3</v>
      </c>
      <c r="AE19" s="55">
        <v>179.3</v>
      </c>
      <c r="AF19" s="56">
        <f t="shared" si="12"/>
        <v>7.3033707865169176E-3</v>
      </c>
      <c r="AG19" s="55">
        <v>193.7</v>
      </c>
      <c r="AH19" s="56">
        <f t="shared" si="13"/>
        <v>4.6680497925310023E-3</v>
      </c>
      <c r="AI19" s="55">
        <v>172.1</v>
      </c>
      <c r="AJ19" s="56">
        <f t="shared" si="14"/>
        <v>7.6112412177984949E-3</v>
      </c>
      <c r="AK19" s="55">
        <v>164.6</v>
      </c>
      <c r="AL19" s="56">
        <f t="shared" si="15"/>
        <v>1.354679802955658E-2</v>
      </c>
      <c r="AM19" s="55">
        <v>165.3</v>
      </c>
      <c r="AN19" s="56">
        <f t="shared" si="16"/>
        <v>-1.2084592145014418E-3</v>
      </c>
      <c r="AO19" s="55">
        <v>167.2</v>
      </c>
      <c r="AP19" s="56">
        <f t="shared" si="17"/>
        <v>9.0525045262522634E-3</v>
      </c>
      <c r="AQ19" s="55">
        <v>162.80000000000001</v>
      </c>
      <c r="AR19" s="56">
        <f t="shared" si="18"/>
        <v>6.180469715698393E-3</v>
      </c>
      <c r="AS19" s="55">
        <v>173</v>
      </c>
      <c r="AT19" s="56">
        <f t="shared" si="19"/>
        <v>4.6457607433217848E-3</v>
      </c>
      <c r="AU19" s="55">
        <v>157.9</v>
      </c>
      <c r="AV19" s="56">
        <f t="shared" si="20"/>
        <v>6.3734862970044612E-3</v>
      </c>
      <c r="AW19" s="55">
        <v>163.30000000000001</v>
      </c>
      <c r="AX19" s="56">
        <f t="shared" si="21"/>
        <v>7.4028377544726534E-3</v>
      </c>
      <c r="AY19" s="55">
        <v>166</v>
      </c>
      <c r="AZ19" s="56">
        <f t="shared" si="22"/>
        <v>3.6275695284159267E-3</v>
      </c>
      <c r="BA19" s="55">
        <v>167.2</v>
      </c>
      <c r="BB19" s="56">
        <f t="shared" si="23"/>
        <v>1.7031630170316198E-2</v>
      </c>
      <c r="BC19" s="55">
        <v>164.6</v>
      </c>
      <c r="BD19" s="57">
        <f t="shared" si="24"/>
        <v>6.7278287461773351E-3</v>
      </c>
    </row>
    <row r="20" spans="1:56" x14ac:dyDescent="0.3">
      <c r="A20" s="68">
        <v>2022</v>
      </c>
      <c r="B20" s="68" t="s">
        <v>37</v>
      </c>
      <c r="C20" s="69">
        <v>102.97</v>
      </c>
      <c r="D20" s="53">
        <f t="shared" si="0"/>
        <v>-8.7711526534951761E-2</v>
      </c>
      <c r="G20" s="36">
        <v>2022</v>
      </c>
      <c r="H20" s="36" t="s">
        <v>37</v>
      </c>
      <c r="I20" s="55">
        <v>152.9</v>
      </c>
      <c r="J20" s="56">
        <f t="shared" si="1"/>
        <v>1.0575016523463279E-2</v>
      </c>
      <c r="K20" s="55">
        <v>211.8</v>
      </c>
      <c r="L20" s="56">
        <f t="shared" si="2"/>
        <v>5.2206929283342323E-3</v>
      </c>
      <c r="M20" s="55">
        <v>164.5</v>
      </c>
      <c r="N20" s="56">
        <f t="shared" si="3"/>
        <v>-1.9666269368295658E-2</v>
      </c>
      <c r="O20" s="55">
        <v>163.9</v>
      </c>
      <c r="P20" s="56">
        <f t="shared" si="4"/>
        <v>1.0480887792848441E-2</v>
      </c>
      <c r="Q20" s="55">
        <v>199.5</v>
      </c>
      <c r="R20" s="56">
        <f t="shared" si="5"/>
        <v>2.5179856115107944E-2</v>
      </c>
      <c r="S20" s="55">
        <v>172.6</v>
      </c>
      <c r="T20" s="56">
        <f t="shared" si="6"/>
        <v>9.5177664974619297E-2</v>
      </c>
      <c r="U20" s="55">
        <v>166.2</v>
      </c>
      <c r="V20" s="56">
        <f t="shared" si="7"/>
        <v>-4.1941282204914143E-3</v>
      </c>
      <c r="W20" s="55">
        <v>164.7</v>
      </c>
      <c r="X20" s="56">
        <f t="shared" si="8"/>
        <v>4.8810250152530989E-3</v>
      </c>
      <c r="Y20" s="55">
        <v>119</v>
      </c>
      <c r="Z20" s="56">
        <f t="shared" si="9"/>
        <v>1.680672268907587E-3</v>
      </c>
      <c r="AA20" s="55">
        <v>181.3</v>
      </c>
      <c r="AB20" s="56">
        <f t="shared" si="10"/>
        <v>2.1984216459977484E-2</v>
      </c>
      <c r="AC20" s="55">
        <v>166.2</v>
      </c>
      <c r="AD20" s="56">
        <f t="shared" si="11"/>
        <v>5.4446460980034916E-3</v>
      </c>
      <c r="AE20" s="55">
        <v>180.9</v>
      </c>
      <c r="AF20" s="56">
        <f t="shared" si="12"/>
        <v>8.9235917456776028E-3</v>
      </c>
      <c r="AG20" s="55">
        <v>193.9</v>
      </c>
      <c r="AH20" s="56">
        <f t="shared" si="13"/>
        <v>1.0325245224574965E-3</v>
      </c>
      <c r="AI20" s="55">
        <v>173.9</v>
      </c>
      <c r="AJ20" s="56">
        <f t="shared" si="14"/>
        <v>1.0459035444509072E-2</v>
      </c>
      <c r="AK20" s="55">
        <v>166.5</v>
      </c>
      <c r="AL20" s="56">
        <f t="shared" si="15"/>
        <v>1.1543134872418018E-2</v>
      </c>
      <c r="AM20" s="55">
        <v>167</v>
      </c>
      <c r="AN20" s="56">
        <f t="shared" si="16"/>
        <v>1.0284331518451231E-2</v>
      </c>
      <c r="AO20" s="55">
        <v>172.2</v>
      </c>
      <c r="AP20" s="56">
        <f t="shared" si="17"/>
        <v>2.9904306220095697E-2</v>
      </c>
      <c r="AQ20" s="55">
        <v>164</v>
      </c>
      <c r="AR20" s="56">
        <f t="shared" si="18"/>
        <v>7.371007371007301E-3</v>
      </c>
      <c r="AS20" s="55">
        <v>174</v>
      </c>
      <c r="AT20" s="56">
        <f t="shared" si="19"/>
        <v>5.7803468208092483E-3</v>
      </c>
      <c r="AU20" s="55">
        <v>162.6</v>
      </c>
      <c r="AV20" s="56">
        <f t="shared" si="20"/>
        <v>2.9765674477517344E-2</v>
      </c>
      <c r="AW20" s="55">
        <v>164.4</v>
      </c>
      <c r="AX20" s="56">
        <f t="shared" si="21"/>
        <v>6.7360685854255618E-3</v>
      </c>
      <c r="AY20" s="55">
        <v>166.9</v>
      </c>
      <c r="AZ20" s="56">
        <f t="shared" si="22"/>
        <v>5.4216867469879864E-3</v>
      </c>
      <c r="BA20" s="55">
        <v>168.8</v>
      </c>
      <c r="BB20" s="56">
        <f t="shared" si="23"/>
        <v>9.5693779904307587E-3</v>
      </c>
      <c r="BC20" s="55">
        <v>166.8</v>
      </c>
      <c r="BD20" s="57">
        <f t="shared" si="24"/>
        <v>1.3365735115431453E-2</v>
      </c>
    </row>
    <row r="21" spans="1:56" x14ac:dyDescent="0.3">
      <c r="A21" s="66">
        <v>2022</v>
      </c>
      <c r="B21" s="66" t="s">
        <v>38</v>
      </c>
      <c r="C21" s="67">
        <v>109.51</v>
      </c>
      <c r="D21" s="53">
        <f t="shared" si="0"/>
        <v>6.3513644750898379E-2</v>
      </c>
      <c r="G21" s="36">
        <v>2022</v>
      </c>
      <c r="H21" s="36" t="s">
        <v>38</v>
      </c>
      <c r="I21" s="55">
        <v>154.1</v>
      </c>
      <c r="J21" s="56">
        <f t="shared" si="1"/>
        <v>7.848266841072522E-3</v>
      </c>
      <c r="K21" s="55">
        <v>217</v>
      </c>
      <c r="L21" s="56">
        <f t="shared" si="2"/>
        <v>2.4551463644948011E-2</v>
      </c>
      <c r="M21" s="55">
        <v>162.4</v>
      </c>
      <c r="N21" s="56">
        <f t="shared" si="3"/>
        <v>-1.2765957446808475E-2</v>
      </c>
      <c r="O21" s="55">
        <v>164.9</v>
      </c>
      <c r="P21" s="56">
        <f t="shared" si="4"/>
        <v>6.1012812690665035E-3</v>
      </c>
      <c r="Q21" s="55">
        <v>202.4</v>
      </c>
      <c r="R21" s="56">
        <f t="shared" si="5"/>
        <v>1.4536340852130354E-2</v>
      </c>
      <c r="S21" s="55">
        <v>171</v>
      </c>
      <c r="T21" s="56">
        <f t="shared" si="6"/>
        <v>-9.2699884125144513E-3</v>
      </c>
      <c r="U21" s="55">
        <v>174.9</v>
      </c>
      <c r="V21" s="56">
        <f t="shared" si="7"/>
        <v>5.2346570397112019E-2</v>
      </c>
      <c r="W21" s="55">
        <v>164.7</v>
      </c>
      <c r="X21" s="56">
        <f t="shared" si="8"/>
        <v>0</v>
      </c>
      <c r="Y21" s="55">
        <v>119.7</v>
      </c>
      <c r="Z21" s="56">
        <f t="shared" si="9"/>
        <v>5.847953216374293E-3</v>
      </c>
      <c r="AA21" s="55">
        <v>184.9</v>
      </c>
      <c r="AB21" s="56">
        <f t="shared" si="10"/>
        <v>1.9856591285162681E-2</v>
      </c>
      <c r="AC21" s="55">
        <v>167.1</v>
      </c>
      <c r="AD21" s="56">
        <f t="shared" si="11"/>
        <v>5.4151624548736807E-3</v>
      </c>
      <c r="AE21" s="55">
        <v>182.5</v>
      </c>
      <c r="AF21" s="56">
        <f t="shared" si="12"/>
        <v>8.8446655610834399E-3</v>
      </c>
      <c r="AG21" s="55">
        <v>194.1</v>
      </c>
      <c r="AH21" s="56">
        <f t="shared" si="13"/>
        <v>1.0314595152139691E-3</v>
      </c>
      <c r="AI21" s="55">
        <v>175.6</v>
      </c>
      <c r="AJ21" s="56">
        <f t="shared" si="14"/>
        <v>9.7757331799884339E-3</v>
      </c>
      <c r="AK21" s="55">
        <v>168.4</v>
      </c>
      <c r="AL21" s="56">
        <f t="shared" si="15"/>
        <v>1.1411411411411446E-2</v>
      </c>
      <c r="AM21" s="55">
        <v>167.5</v>
      </c>
      <c r="AN21" s="56">
        <f t="shared" si="16"/>
        <v>2.9940119760479044E-3</v>
      </c>
      <c r="AO21" s="55">
        <v>174.6</v>
      </c>
      <c r="AP21" s="56">
        <f t="shared" si="17"/>
        <v>1.3937282229965191E-2</v>
      </c>
      <c r="AQ21" s="55">
        <v>165.2</v>
      </c>
      <c r="AR21" s="56">
        <f t="shared" si="18"/>
        <v>7.3170731707316384E-3</v>
      </c>
      <c r="AS21" s="55">
        <v>174.8</v>
      </c>
      <c r="AT21" s="56">
        <f t="shared" si="19"/>
        <v>4.5977011494253523E-3</v>
      </c>
      <c r="AU21" s="55">
        <v>163</v>
      </c>
      <c r="AV21" s="56">
        <f t="shared" si="20"/>
        <v>2.4600246002460377E-3</v>
      </c>
      <c r="AW21" s="55">
        <v>165.1</v>
      </c>
      <c r="AX21" s="56">
        <f t="shared" si="21"/>
        <v>4.257907542579006E-3</v>
      </c>
      <c r="AY21" s="55">
        <v>167.9</v>
      </c>
      <c r="AZ21" s="56">
        <f t="shared" si="22"/>
        <v>5.9916117435590173E-3</v>
      </c>
      <c r="BA21" s="55">
        <v>168.4</v>
      </c>
      <c r="BB21" s="56">
        <f t="shared" si="23"/>
        <v>-2.3696682464455312E-3</v>
      </c>
      <c r="BC21" s="55">
        <v>167.5</v>
      </c>
      <c r="BD21" s="57">
        <f t="shared" si="24"/>
        <v>4.1966426858512504E-3</v>
      </c>
    </row>
    <row r="22" spans="1:56" x14ac:dyDescent="0.3">
      <c r="A22" s="68">
        <v>2022</v>
      </c>
      <c r="B22" s="68" t="s">
        <v>39</v>
      </c>
      <c r="C22" s="69">
        <v>116.01</v>
      </c>
      <c r="D22" s="53">
        <f t="shared" si="0"/>
        <v>5.9355310017350012E-2</v>
      </c>
      <c r="G22" s="36">
        <v>2022</v>
      </c>
      <c r="H22" s="36" t="s">
        <v>39</v>
      </c>
      <c r="I22" s="55">
        <v>155</v>
      </c>
      <c r="J22" s="56">
        <f t="shared" si="1"/>
        <v>5.8403634003893947E-3</v>
      </c>
      <c r="K22" s="55">
        <v>219.4</v>
      </c>
      <c r="L22" s="56">
        <f t="shared" si="2"/>
        <v>1.1059907834101408E-2</v>
      </c>
      <c r="M22" s="55">
        <v>170.8</v>
      </c>
      <c r="N22" s="56">
        <f t="shared" si="3"/>
        <v>5.1724137931034517E-2</v>
      </c>
      <c r="O22" s="55">
        <v>165.8</v>
      </c>
      <c r="P22" s="56">
        <f t="shared" si="4"/>
        <v>5.4578532443905741E-3</v>
      </c>
      <c r="Q22" s="55">
        <v>200.9</v>
      </c>
      <c r="R22" s="56">
        <f t="shared" si="5"/>
        <v>-7.411067193675889E-3</v>
      </c>
      <c r="S22" s="55">
        <v>169.7</v>
      </c>
      <c r="T22" s="56">
        <f t="shared" si="6"/>
        <v>-7.6023391812866164E-3</v>
      </c>
      <c r="U22" s="55">
        <v>182.3</v>
      </c>
      <c r="V22" s="56">
        <f t="shared" si="7"/>
        <v>4.230989136649517E-2</v>
      </c>
      <c r="W22" s="55">
        <v>164.3</v>
      </c>
      <c r="X22" s="56">
        <f t="shared" si="8"/>
        <v>-2.4286581663629466E-3</v>
      </c>
      <c r="Y22" s="55">
        <v>119.9</v>
      </c>
      <c r="Z22" s="56">
        <f t="shared" si="9"/>
        <v>1.6680567139282971E-3</v>
      </c>
      <c r="AA22" s="55">
        <v>187.1</v>
      </c>
      <c r="AB22" s="56">
        <f t="shared" si="10"/>
        <v>1.1898323418063756E-2</v>
      </c>
      <c r="AC22" s="55">
        <v>167.9</v>
      </c>
      <c r="AD22" s="56">
        <f t="shared" si="11"/>
        <v>4.7875523638540481E-3</v>
      </c>
      <c r="AE22" s="55">
        <v>183.9</v>
      </c>
      <c r="AF22" s="56">
        <f t="shared" si="12"/>
        <v>7.6712328767123599E-3</v>
      </c>
      <c r="AG22" s="55">
        <v>194.3</v>
      </c>
      <c r="AH22" s="56">
        <f t="shared" si="13"/>
        <v>1.0303967027306391E-3</v>
      </c>
      <c r="AI22" s="55">
        <v>177.1</v>
      </c>
      <c r="AJ22" s="56">
        <f t="shared" si="14"/>
        <v>8.5421412300683373E-3</v>
      </c>
      <c r="AK22" s="55">
        <v>169.9</v>
      </c>
      <c r="AL22" s="56">
        <f t="shared" si="15"/>
        <v>8.9073634204275536E-3</v>
      </c>
      <c r="AM22" s="55">
        <v>166.8</v>
      </c>
      <c r="AN22" s="56">
        <f t="shared" si="16"/>
        <v>-4.1791044776118723E-3</v>
      </c>
      <c r="AO22" s="55">
        <v>176</v>
      </c>
      <c r="AP22" s="56">
        <f t="shared" si="17"/>
        <v>8.0183276059565042E-3</v>
      </c>
      <c r="AQ22" s="55">
        <v>166.4</v>
      </c>
      <c r="AR22" s="56">
        <f t="shared" si="18"/>
        <v>7.2639225181599099E-3</v>
      </c>
      <c r="AS22" s="55">
        <v>175.4</v>
      </c>
      <c r="AT22" s="56">
        <f t="shared" si="19"/>
        <v>3.4324942791761686E-3</v>
      </c>
      <c r="AU22" s="55">
        <v>161.1</v>
      </c>
      <c r="AV22" s="56">
        <f t="shared" si="20"/>
        <v>-1.1656441717791446E-2</v>
      </c>
      <c r="AW22" s="55">
        <v>165.8</v>
      </c>
      <c r="AX22" s="56">
        <f t="shared" si="21"/>
        <v>4.2398546335555244E-3</v>
      </c>
      <c r="AY22" s="55">
        <v>169</v>
      </c>
      <c r="AZ22" s="56">
        <f t="shared" si="22"/>
        <v>6.5515187611673272E-3</v>
      </c>
      <c r="BA22" s="55">
        <v>169.4</v>
      </c>
      <c r="BB22" s="56">
        <f t="shared" si="23"/>
        <v>5.9382422802850355E-3</v>
      </c>
      <c r="BC22" s="55">
        <v>167.5</v>
      </c>
      <c r="BD22" s="57">
        <f t="shared" si="24"/>
        <v>0</v>
      </c>
    </row>
    <row r="23" spans="1:56" x14ac:dyDescent="0.3">
      <c r="A23" s="66">
        <v>2022</v>
      </c>
      <c r="B23" s="66" t="s">
        <v>40</v>
      </c>
      <c r="C23" s="67">
        <v>105.49</v>
      </c>
      <c r="D23" s="53">
        <f t="shared" si="0"/>
        <v>-9.0681837772605897E-2</v>
      </c>
      <c r="G23" s="36">
        <v>2022</v>
      </c>
      <c r="H23" s="36" t="s">
        <v>40</v>
      </c>
      <c r="I23" s="55">
        <v>156.5</v>
      </c>
      <c r="J23" s="56">
        <f t="shared" si="1"/>
        <v>9.6774193548387101E-3</v>
      </c>
      <c r="K23" s="55">
        <v>213</v>
      </c>
      <c r="L23" s="56">
        <f t="shared" si="2"/>
        <v>-2.9170464904284436E-2</v>
      </c>
      <c r="M23" s="55">
        <v>175.2</v>
      </c>
      <c r="N23" s="56">
        <f t="shared" si="3"/>
        <v>2.5761124121779725E-2</v>
      </c>
      <c r="O23" s="55">
        <v>166.6</v>
      </c>
      <c r="P23" s="56">
        <f t="shared" si="4"/>
        <v>4.8250904704462173E-3</v>
      </c>
      <c r="Q23" s="55">
        <v>195.8</v>
      </c>
      <c r="R23" s="56">
        <f t="shared" si="5"/>
        <v>-2.5385764061722219E-2</v>
      </c>
      <c r="S23" s="55">
        <v>174.2</v>
      </c>
      <c r="T23" s="56">
        <f t="shared" si="6"/>
        <v>2.6517383618149679E-2</v>
      </c>
      <c r="U23" s="55">
        <v>182.1</v>
      </c>
      <c r="V23" s="56">
        <f t="shared" si="7"/>
        <v>-1.0970927043336097E-3</v>
      </c>
      <c r="W23" s="55">
        <v>164.3</v>
      </c>
      <c r="X23" s="56">
        <f t="shared" si="8"/>
        <v>0</v>
      </c>
      <c r="Y23" s="55">
        <v>120</v>
      </c>
      <c r="Z23" s="56">
        <f t="shared" si="9"/>
        <v>8.3333333333328601E-4</v>
      </c>
      <c r="AA23" s="55">
        <v>190</v>
      </c>
      <c r="AB23" s="56">
        <f t="shared" si="10"/>
        <v>1.5499732763228252E-2</v>
      </c>
      <c r="AC23" s="55">
        <v>168.4</v>
      </c>
      <c r="AD23" s="56">
        <f t="shared" si="11"/>
        <v>2.9779630732578916E-3</v>
      </c>
      <c r="AE23" s="55">
        <v>185.2</v>
      </c>
      <c r="AF23" s="56">
        <f t="shared" si="12"/>
        <v>7.0690592713430287E-3</v>
      </c>
      <c r="AG23" s="55">
        <v>194.6</v>
      </c>
      <c r="AH23" s="56">
        <f t="shared" si="13"/>
        <v>1.5440041173442251E-3</v>
      </c>
      <c r="AI23" s="55">
        <v>178.3</v>
      </c>
      <c r="AJ23" s="56">
        <f t="shared" si="14"/>
        <v>6.7758328627894812E-3</v>
      </c>
      <c r="AK23" s="55">
        <v>171.3</v>
      </c>
      <c r="AL23" s="56">
        <f t="shared" si="15"/>
        <v>8.2401412595644822E-3</v>
      </c>
      <c r="AM23" s="55">
        <v>167.8</v>
      </c>
      <c r="AN23" s="56">
        <f t="shared" si="16"/>
        <v>5.9952038369304557E-3</v>
      </c>
      <c r="AO23" s="55">
        <v>179.6</v>
      </c>
      <c r="AP23" s="56">
        <f t="shared" si="17"/>
        <v>2.0454545454545423E-2</v>
      </c>
      <c r="AQ23" s="55">
        <v>167.4</v>
      </c>
      <c r="AR23" s="56">
        <f t="shared" si="18"/>
        <v>6.0096153846153841E-3</v>
      </c>
      <c r="AS23" s="55">
        <v>176.1</v>
      </c>
      <c r="AT23" s="56">
        <f t="shared" si="19"/>
        <v>3.9908779931584299E-3</v>
      </c>
      <c r="AU23" s="55">
        <v>161.6</v>
      </c>
      <c r="AV23" s="56">
        <f t="shared" si="20"/>
        <v>3.1036623215394167E-3</v>
      </c>
      <c r="AW23" s="55">
        <v>166.3</v>
      </c>
      <c r="AX23" s="56">
        <f t="shared" si="21"/>
        <v>3.0156815440289505E-3</v>
      </c>
      <c r="AY23" s="55">
        <v>171.4</v>
      </c>
      <c r="AZ23" s="56">
        <f t="shared" si="22"/>
        <v>1.4201183431952697E-2</v>
      </c>
      <c r="BA23" s="55">
        <v>169.7</v>
      </c>
      <c r="BB23" s="56">
        <f t="shared" si="23"/>
        <v>1.7709563164107611E-3</v>
      </c>
      <c r="BC23" s="55">
        <v>168.4</v>
      </c>
      <c r="BD23" s="57">
        <f t="shared" si="24"/>
        <v>5.3731343283582433E-3</v>
      </c>
    </row>
    <row r="24" spans="1:56" x14ac:dyDescent="0.3">
      <c r="A24" s="68">
        <v>2022</v>
      </c>
      <c r="B24" s="68" t="s">
        <v>41</v>
      </c>
      <c r="C24" s="69">
        <v>97.4</v>
      </c>
      <c r="D24" s="53">
        <f t="shared" si="0"/>
        <v>-7.6689733624040093E-2</v>
      </c>
      <c r="G24" s="36">
        <v>2022</v>
      </c>
      <c r="H24" s="36" t="s">
        <v>41</v>
      </c>
      <c r="I24" s="55">
        <v>160.30000000000001</v>
      </c>
      <c r="J24" s="56">
        <f t="shared" si="1"/>
        <v>2.4281150159744483E-2</v>
      </c>
      <c r="K24" s="55">
        <v>206.5</v>
      </c>
      <c r="L24" s="56">
        <f t="shared" si="2"/>
        <v>-3.0516431924882629E-2</v>
      </c>
      <c r="M24" s="55">
        <v>169.2</v>
      </c>
      <c r="N24" s="56">
        <f t="shared" si="3"/>
        <v>-3.4246575342465758E-2</v>
      </c>
      <c r="O24" s="55">
        <v>168.1</v>
      </c>
      <c r="P24" s="56">
        <f t="shared" si="4"/>
        <v>9.00360144057623E-3</v>
      </c>
      <c r="Q24" s="55">
        <v>192.4</v>
      </c>
      <c r="R24" s="56">
        <f t="shared" si="5"/>
        <v>-1.7364657814096043E-2</v>
      </c>
      <c r="S24" s="55">
        <v>172.9</v>
      </c>
      <c r="T24" s="56">
        <f t="shared" si="6"/>
        <v>-7.4626865671640818E-3</v>
      </c>
      <c r="U24" s="55">
        <v>186.7</v>
      </c>
      <c r="V24" s="56">
        <f t="shared" si="7"/>
        <v>2.5260845689181737E-2</v>
      </c>
      <c r="W24" s="55">
        <v>167.2</v>
      </c>
      <c r="X24" s="56">
        <f t="shared" si="8"/>
        <v>1.7650639074862917E-2</v>
      </c>
      <c r="Y24" s="55">
        <v>120.9</v>
      </c>
      <c r="Z24" s="56">
        <f t="shared" si="9"/>
        <v>7.444168734491362E-3</v>
      </c>
      <c r="AA24" s="55">
        <v>193.6</v>
      </c>
      <c r="AB24" s="56">
        <f t="shared" si="10"/>
        <v>1.8947368421052602E-2</v>
      </c>
      <c r="AC24" s="55">
        <v>168.8</v>
      </c>
      <c r="AD24" s="56">
        <f t="shared" si="11"/>
        <v>2.3752969121140478E-3</v>
      </c>
      <c r="AE24" s="55">
        <v>186.3</v>
      </c>
      <c r="AF24" s="56">
        <f t="shared" si="12"/>
        <v>5.9395248380130824E-3</v>
      </c>
      <c r="AG24" s="55">
        <v>195</v>
      </c>
      <c r="AH24" s="56">
        <f t="shared" si="13"/>
        <v>2.0554984583761853E-3</v>
      </c>
      <c r="AI24" s="55">
        <v>179.5</v>
      </c>
      <c r="AJ24" s="56">
        <f t="shared" si="14"/>
        <v>6.7302299495232108E-3</v>
      </c>
      <c r="AK24" s="55">
        <v>172.7</v>
      </c>
      <c r="AL24" s="56">
        <f t="shared" si="15"/>
        <v>8.1727962638644316E-3</v>
      </c>
      <c r="AM24" s="55">
        <v>169</v>
      </c>
      <c r="AN24" s="56">
        <f t="shared" si="16"/>
        <v>7.1513706793801465E-3</v>
      </c>
      <c r="AO24" s="55">
        <v>178.8</v>
      </c>
      <c r="AP24" s="56">
        <f t="shared" si="17"/>
        <v>-4.4543429844097048E-3</v>
      </c>
      <c r="AQ24" s="55">
        <v>168.5</v>
      </c>
      <c r="AR24" s="56">
        <f t="shared" si="18"/>
        <v>6.571087216248472E-3</v>
      </c>
      <c r="AS24" s="55">
        <v>176.8</v>
      </c>
      <c r="AT24" s="56">
        <f t="shared" si="19"/>
        <v>3.9750141964793699E-3</v>
      </c>
      <c r="AU24" s="55">
        <v>161.9</v>
      </c>
      <c r="AV24" s="56">
        <f t="shared" si="20"/>
        <v>1.8564356435644268E-3</v>
      </c>
      <c r="AW24" s="55">
        <v>166.9</v>
      </c>
      <c r="AX24" s="56">
        <f t="shared" si="21"/>
        <v>3.6079374624172836E-3</v>
      </c>
      <c r="AY24" s="55">
        <v>172.3</v>
      </c>
      <c r="AZ24" s="56">
        <f t="shared" si="22"/>
        <v>5.2508751458576761E-3</v>
      </c>
      <c r="BA24" s="55">
        <v>171.2</v>
      </c>
      <c r="BB24" s="56">
        <f t="shared" si="23"/>
        <v>8.8391278727165592E-3</v>
      </c>
      <c r="BC24" s="55">
        <v>169.1</v>
      </c>
      <c r="BD24" s="57">
        <f t="shared" si="24"/>
        <v>4.1567695961994573E-3</v>
      </c>
    </row>
    <row r="25" spans="1:56" x14ac:dyDescent="0.3">
      <c r="A25" s="66">
        <v>2022</v>
      </c>
      <c r="B25" s="66" t="s">
        <v>42</v>
      </c>
      <c r="C25" s="67">
        <v>90.71</v>
      </c>
      <c r="D25" s="53">
        <f t="shared" si="0"/>
        <v>-6.8685831622176716E-2</v>
      </c>
      <c r="G25" s="36">
        <v>2022</v>
      </c>
      <c r="H25" s="36" t="s">
        <v>42</v>
      </c>
      <c r="I25" s="55">
        <v>163.5</v>
      </c>
      <c r="J25" s="56">
        <f t="shared" si="1"/>
        <v>1.9962570180910719E-2</v>
      </c>
      <c r="K25" s="55">
        <v>209.2</v>
      </c>
      <c r="L25" s="56">
        <f t="shared" si="2"/>
        <v>1.3075060532687597E-2</v>
      </c>
      <c r="M25" s="55">
        <v>169.7</v>
      </c>
      <c r="N25" s="56">
        <f t="shared" si="3"/>
        <v>2.9550827423167852E-3</v>
      </c>
      <c r="O25" s="55">
        <v>169.7</v>
      </c>
      <c r="P25" s="56">
        <f t="shared" si="4"/>
        <v>9.5181439619273899E-3</v>
      </c>
      <c r="Q25" s="55">
        <v>188.7</v>
      </c>
      <c r="R25" s="56">
        <f t="shared" si="5"/>
        <v>-1.9230769230769319E-2</v>
      </c>
      <c r="S25" s="55">
        <v>165.7</v>
      </c>
      <c r="T25" s="56">
        <f t="shared" si="6"/>
        <v>-4.1642567958357531E-2</v>
      </c>
      <c r="U25" s="55">
        <v>191.8</v>
      </c>
      <c r="V25" s="56">
        <f t="shared" si="7"/>
        <v>2.7316550615961558E-2</v>
      </c>
      <c r="W25" s="55">
        <v>169.1</v>
      </c>
      <c r="X25" s="56">
        <f t="shared" si="8"/>
        <v>1.1363636363636399E-2</v>
      </c>
      <c r="Y25" s="55">
        <v>121.6</v>
      </c>
      <c r="Z25" s="56">
        <f t="shared" si="9"/>
        <v>5.7565789473683279E-3</v>
      </c>
      <c r="AA25" s="55">
        <v>197.3</v>
      </c>
      <c r="AB25" s="56">
        <f t="shared" si="10"/>
        <v>1.9111570247933973E-2</v>
      </c>
      <c r="AC25" s="55">
        <v>169.4</v>
      </c>
      <c r="AD25" s="56">
        <f t="shared" si="11"/>
        <v>3.5545023696682125E-3</v>
      </c>
      <c r="AE25" s="55">
        <v>187.4</v>
      </c>
      <c r="AF25" s="56">
        <f t="shared" si="12"/>
        <v>5.9044551798174676E-3</v>
      </c>
      <c r="AG25" s="55">
        <v>195.9</v>
      </c>
      <c r="AH25" s="56">
        <f t="shared" si="13"/>
        <v>4.6153846153846444E-3</v>
      </c>
      <c r="AI25" s="55">
        <v>180.9</v>
      </c>
      <c r="AJ25" s="56">
        <f t="shared" si="14"/>
        <v>7.7994428969359649E-3</v>
      </c>
      <c r="AK25" s="55">
        <v>174.3</v>
      </c>
      <c r="AL25" s="56">
        <f t="shared" si="15"/>
        <v>9.2646207295890154E-3</v>
      </c>
      <c r="AM25" s="55">
        <v>169.5</v>
      </c>
      <c r="AN25" s="56">
        <f t="shared" si="16"/>
        <v>2.9585798816568047E-3</v>
      </c>
      <c r="AO25" s="55">
        <v>179.5</v>
      </c>
      <c r="AP25" s="56">
        <f t="shared" si="17"/>
        <v>3.9149888143176093E-3</v>
      </c>
      <c r="AQ25" s="55">
        <v>169.5</v>
      </c>
      <c r="AR25" s="56">
        <f t="shared" si="18"/>
        <v>5.9347181008902079E-3</v>
      </c>
      <c r="AS25" s="55">
        <v>177.8</v>
      </c>
      <c r="AT25" s="56">
        <f t="shared" si="19"/>
        <v>5.6561085972850677E-3</v>
      </c>
      <c r="AU25" s="55">
        <v>162.30000000000001</v>
      </c>
      <c r="AV25" s="56">
        <f t="shared" si="20"/>
        <v>2.470660901791264E-3</v>
      </c>
      <c r="AW25" s="55">
        <v>167.6</v>
      </c>
      <c r="AX25" s="56">
        <f t="shared" si="21"/>
        <v>4.1941282204912443E-3</v>
      </c>
      <c r="AY25" s="55">
        <v>173.1</v>
      </c>
      <c r="AZ25" s="56">
        <f t="shared" si="22"/>
        <v>4.6430644225187636E-3</v>
      </c>
      <c r="BA25" s="55">
        <v>170.9</v>
      </c>
      <c r="BB25" s="56">
        <f t="shared" si="23"/>
        <v>-1.7523364485980313E-3</v>
      </c>
      <c r="BC25" s="55">
        <v>169.7</v>
      </c>
      <c r="BD25" s="57">
        <f t="shared" si="24"/>
        <v>3.548196333530422E-3</v>
      </c>
    </row>
    <row r="26" spans="1:56" x14ac:dyDescent="0.3">
      <c r="A26" s="68">
        <v>2022</v>
      </c>
      <c r="B26" s="68" t="s">
        <v>43</v>
      </c>
      <c r="C26" s="69">
        <v>91.7</v>
      </c>
      <c r="D26" s="53">
        <f t="shared" si="0"/>
        <v>1.0913901444162818E-2</v>
      </c>
      <c r="G26" s="36">
        <v>2022</v>
      </c>
      <c r="H26" s="36" t="s">
        <v>43</v>
      </c>
      <c r="I26" s="55">
        <v>165.2</v>
      </c>
      <c r="J26" s="56">
        <f t="shared" si="1"/>
        <v>1.0397553516819502E-2</v>
      </c>
      <c r="K26" s="55">
        <v>210.9</v>
      </c>
      <c r="L26" s="56">
        <f t="shared" si="2"/>
        <v>8.1261950286807706E-3</v>
      </c>
      <c r="M26" s="55">
        <v>170.9</v>
      </c>
      <c r="N26" s="56">
        <f t="shared" si="3"/>
        <v>7.0713022981733478E-3</v>
      </c>
      <c r="O26" s="55">
        <v>170.9</v>
      </c>
      <c r="P26" s="56">
        <f t="shared" si="4"/>
        <v>7.0713022981733478E-3</v>
      </c>
      <c r="Q26" s="55">
        <v>186.5</v>
      </c>
      <c r="R26" s="56">
        <f t="shared" si="5"/>
        <v>-1.1658717541070422E-2</v>
      </c>
      <c r="S26" s="55">
        <v>163.80000000000001</v>
      </c>
      <c r="T26" s="56">
        <f t="shared" si="6"/>
        <v>-1.1466505733252729E-2</v>
      </c>
      <c r="U26" s="55">
        <v>199.7</v>
      </c>
      <c r="V26" s="56">
        <f t="shared" si="7"/>
        <v>4.118873826903012E-2</v>
      </c>
      <c r="W26" s="55">
        <v>169.8</v>
      </c>
      <c r="X26" s="56">
        <f t="shared" si="8"/>
        <v>4.1395623891189656E-3</v>
      </c>
      <c r="Y26" s="55">
        <v>121.9</v>
      </c>
      <c r="Z26" s="56">
        <f t="shared" si="9"/>
        <v>2.4610336341264263E-3</v>
      </c>
      <c r="AA26" s="55">
        <v>199.9</v>
      </c>
      <c r="AB26" s="56">
        <f t="shared" si="10"/>
        <v>1.3177901672579798E-2</v>
      </c>
      <c r="AC26" s="55">
        <v>169.9</v>
      </c>
      <c r="AD26" s="56">
        <f t="shared" si="11"/>
        <v>2.9515938606847697E-3</v>
      </c>
      <c r="AE26" s="55">
        <v>188.3</v>
      </c>
      <c r="AF26" s="56">
        <f t="shared" si="12"/>
        <v>4.8025613660619302E-3</v>
      </c>
      <c r="AG26" s="55">
        <v>196.3</v>
      </c>
      <c r="AH26" s="56">
        <f t="shared" si="13"/>
        <v>2.0418580908627142E-3</v>
      </c>
      <c r="AI26" s="55">
        <v>181.9</v>
      </c>
      <c r="AJ26" s="56">
        <f t="shared" si="14"/>
        <v>5.5279159756771697E-3</v>
      </c>
      <c r="AK26" s="55">
        <v>175.3</v>
      </c>
      <c r="AL26" s="56">
        <f t="shared" si="15"/>
        <v>5.737234652897303E-3</v>
      </c>
      <c r="AM26" s="55">
        <v>171.2</v>
      </c>
      <c r="AN26" s="56">
        <f t="shared" si="16"/>
        <v>1.0029498525073679E-2</v>
      </c>
      <c r="AO26" s="55">
        <v>180.5</v>
      </c>
      <c r="AP26" s="56">
        <f t="shared" si="17"/>
        <v>5.5710306406685237E-3</v>
      </c>
      <c r="AQ26" s="55">
        <v>170.4</v>
      </c>
      <c r="AR26" s="56">
        <f t="shared" si="18"/>
        <v>5.30973451327437E-3</v>
      </c>
      <c r="AS26" s="55">
        <v>178.7</v>
      </c>
      <c r="AT26" s="56">
        <f t="shared" si="19"/>
        <v>5.0618672665915477E-3</v>
      </c>
      <c r="AU26" s="55">
        <v>162.9</v>
      </c>
      <c r="AV26" s="56">
        <f t="shared" si="20"/>
        <v>3.6968576709796321E-3</v>
      </c>
      <c r="AW26" s="55">
        <v>168.2</v>
      </c>
      <c r="AX26" s="56">
        <f t="shared" si="21"/>
        <v>3.579952267303069E-3</v>
      </c>
      <c r="AY26" s="55">
        <v>173.4</v>
      </c>
      <c r="AZ26" s="56">
        <f t="shared" si="22"/>
        <v>1.7331022530329948E-3</v>
      </c>
      <c r="BA26" s="55">
        <v>172.1</v>
      </c>
      <c r="BB26" s="56">
        <f t="shared" si="23"/>
        <v>7.021650087770559E-3</v>
      </c>
      <c r="BC26" s="55">
        <v>170.5</v>
      </c>
      <c r="BD26" s="57">
        <f t="shared" si="24"/>
        <v>4.7142015321155655E-3</v>
      </c>
    </row>
    <row r="27" spans="1:56" x14ac:dyDescent="0.3">
      <c r="A27" s="66">
        <v>2022</v>
      </c>
      <c r="B27" s="66" t="s">
        <v>45</v>
      </c>
      <c r="C27" s="67">
        <v>91.07</v>
      </c>
      <c r="D27" s="53">
        <f t="shared" si="0"/>
        <v>-6.8702290076336926E-3</v>
      </c>
      <c r="G27" s="36">
        <v>2022</v>
      </c>
      <c r="H27" s="36" t="s">
        <v>45</v>
      </c>
      <c r="I27" s="55">
        <v>167.4</v>
      </c>
      <c r="J27" s="56">
        <f t="shared" si="1"/>
        <v>1.3317191283293082E-2</v>
      </c>
      <c r="K27" s="55">
        <v>209.4</v>
      </c>
      <c r="L27" s="56">
        <f t="shared" si="2"/>
        <v>-7.1123755334281651E-3</v>
      </c>
      <c r="M27" s="55">
        <v>181.4</v>
      </c>
      <c r="N27" s="56">
        <f t="shared" si="3"/>
        <v>6.1439438267992974E-2</v>
      </c>
      <c r="O27" s="55">
        <v>172.3</v>
      </c>
      <c r="P27" s="56">
        <f t="shared" si="4"/>
        <v>8.1919251023990971E-3</v>
      </c>
      <c r="Q27" s="55">
        <v>188.9</v>
      </c>
      <c r="R27" s="56">
        <f t="shared" si="5"/>
        <v>1.286863270777483E-2</v>
      </c>
      <c r="S27" s="55">
        <v>160.69999999999999</v>
      </c>
      <c r="T27" s="56">
        <f t="shared" si="6"/>
        <v>-1.8925518925519063E-2</v>
      </c>
      <c r="U27" s="55">
        <v>183.1</v>
      </c>
      <c r="V27" s="56">
        <f t="shared" si="7"/>
        <v>-8.3124687030545791E-2</v>
      </c>
      <c r="W27" s="55">
        <v>170.5</v>
      </c>
      <c r="X27" s="56">
        <f t="shared" si="8"/>
        <v>4.1224970553591792E-3</v>
      </c>
      <c r="Y27" s="55">
        <v>122.1</v>
      </c>
      <c r="Z27" s="56">
        <f t="shared" si="9"/>
        <v>1.6380016380015449E-3</v>
      </c>
      <c r="AA27" s="55">
        <v>202.8</v>
      </c>
      <c r="AB27" s="56">
        <f t="shared" si="10"/>
        <v>1.4507253626813434E-2</v>
      </c>
      <c r="AC27" s="55">
        <v>170.4</v>
      </c>
      <c r="AD27" s="56">
        <f t="shared" si="11"/>
        <v>2.942907592701589E-3</v>
      </c>
      <c r="AE27" s="55">
        <v>189.5</v>
      </c>
      <c r="AF27" s="56">
        <f t="shared" si="12"/>
        <v>6.3728093467869812E-3</v>
      </c>
      <c r="AG27" s="55">
        <v>196.9</v>
      </c>
      <c r="AH27" s="56">
        <f t="shared" si="13"/>
        <v>3.0565461029036897E-3</v>
      </c>
      <c r="AI27" s="55">
        <v>183.1</v>
      </c>
      <c r="AJ27" s="56">
        <f t="shared" si="14"/>
        <v>6.5970313358987825E-3</v>
      </c>
      <c r="AK27" s="55">
        <v>176.2</v>
      </c>
      <c r="AL27" s="56">
        <f t="shared" si="15"/>
        <v>5.1340559041641596E-3</v>
      </c>
      <c r="AM27" s="55">
        <v>171.8</v>
      </c>
      <c r="AN27" s="56">
        <f t="shared" si="16"/>
        <v>3.5046728971963948E-3</v>
      </c>
      <c r="AO27" s="55">
        <v>181.3</v>
      </c>
      <c r="AP27" s="56">
        <f t="shared" si="17"/>
        <v>4.4321329639889825E-3</v>
      </c>
      <c r="AQ27" s="55">
        <v>171.4</v>
      </c>
      <c r="AR27" s="56">
        <f t="shared" si="18"/>
        <v>5.8685446009389668E-3</v>
      </c>
      <c r="AS27" s="55">
        <v>179.8</v>
      </c>
      <c r="AT27" s="56">
        <f t="shared" si="19"/>
        <v>6.1555679910465745E-3</v>
      </c>
      <c r="AU27" s="55">
        <v>163</v>
      </c>
      <c r="AV27" s="56">
        <f t="shared" si="20"/>
        <v>6.1387354205030267E-4</v>
      </c>
      <c r="AW27" s="55">
        <v>168.5</v>
      </c>
      <c r="AX27" s="56">
        <f t="shared" si="21"/>
        <v>1.7835909631391878E-3</v>
      </c>
      <c r="AY27" s="55">
        <v>173.7</v>
      </c>
      <c r="AZ27" s="56">
        <f t="shared" si="22"/>
        <v>1.7301038062282753E-3</v>
      </c>
      <c r="BA27" s="55">
        <v>173.6</v>
      </c>
      <c r="BB27" s="56">
        <f t="shared" si="23"/>
        <v>8.7158628704241715E-3</v>
      </c>
      <c r="BC27" s="55">
        <v>171.1</v>
      </c>
      <c r="BD27" s="57">
        <f t="shared" si="24"/>
        <v>3.5190615835776792E-3</v>
      </c>
    </row>
    <row r="28" spans="1:56" x14ac:dyDescent="0.3">
      <c r="A28" s="68">
        <v>2022</v>
      </c>
      <c r="B28" s="68" t="s">
        <v>46</v>
      </c>
      <c r="C28" s="69">
        <v>78.099999999999994</v>
      </c>
      <c r="D28" s="53">
        <f t="shared" si="0"/>
        <v>-0.14241792028110245</v>
      </c>
      <c r="G28" s="36">
        <v>2022</v>
      </c>
      <c r="H28" s="36" t="s">
        <v>46</v>
      </c>
      <c r="I28" s="55">
        <v>169.2</v>
      </c>
      <c r="J28" s="56">
        <f t="shared" si="1"/>
        <v>1.0752688172042909E-2</v>
      </c>
      <c r="K28" s="55">
        <v>209</v>
      </c>
      <c r="L28" s="56">
        <f t="shared" si="2"/>
        <v>-1.9102196752626823E-3</v>
      </c>
      <c r="M28" s="55">
        <v>190.2</v>
      </c>
      <c r="N28" s="56">
        <f t="shared" si="3"/>
        <v>4.8511576626240255E-2</v>
      </c>
      <c r="O28" s="55">
        <v>173.6</v>
      </c>
      <c r="P28" s="56">
        <f t="shared" si="4"/>
        <v>7.5449796865930518E-3</v>
      </c>
      <c r="Q28" s="55">
        <v>188.5</v>
      </c>
      <c r="R28" s="56">
        <f t="shared" si="5"/>
        <v>-2.1175224986765785E-3</v>
      </c>
      <c r="S28" s="55">
        <v>158</v>
      </c>
      <c r="T28" s="56">
        <f t="shared" si="6"/>
        <v>-1.6801493466085806E-2</v>
      </c>
      <c r="U28" s="55">
        <v>159.9</v>
      </c>
      <c r="V28" s="56">
        <f t="shared" si="7"/>
        <v>-0.12670671764063349</v>
      </c>
      <c r="W28" s="55">
        <v>170.8</v>
      </c>
      <c r="X28" s="56">
        <f t="shared" si="8"/>
        <v>1.7595307917889231E-3</v>
      </c>
      <c r="Y28" s="55">
        <v>121.8</v>
      </c>
      <c r="Z28" s="56">
        <f t="shared" si="9"/>
        <v>-2.4630541871920948E-3</v>
      </c>
      <c r="AA28" s="55">
        <v>205.2</v>
      </c>
      <c r="AB28" s="56">
        <f t="shared" si="10"/>
        <v>1.1834319526627106E-2</v>
      </c>
      <c r="AC28" s="55">
        <v>171</v>
      </c>
      <c r="AD28" s="56">
        <f t="shared" si="11"/>
        <v>3.521126760563347E-3</v>
      </c>
      <c r="AE28" s="55">
        <v>190.3</v>
      </c>
      <c r="AF28" s="56">
        <f t="shared" si="12"/>
        <v>4.2216358839050729E-3</v>
      </c>
      <c r="AG28" s="55">
        <v>197.3</v>
      </c>
      <c r="AH28" s="56">
        <f t="shared" si="13"/>
        <v>2.031488065007647E-3</v>
      </c>
      <c r="AI28" s="55">
        <v>184</v>
      </c>
      <c r="AJ28" s="56">
        <f t="shared" si="14"/>
        <v>4.9153468050246079E-3</v>
      </c>
      <c r="AK28" s="55">
        <v>177</v>
      </c>
      <c r="AL28" s="56">
        <f t="shared" si="15"/>
        <v>4.5402951191828118E-3</v>
      </c>
      <c r="AM28" s="55">
        <v>170.7</v>
      </c>
      <c r="AN28" s="56">
        <f t="shared" si="16"/>
        <v>-6.4027939464494921E-3</v>
      </c>
      <c r="AO28" s="55">
        <v>182</v>
      </c>
      <c r="AP28" s="56">
        <f t="shared" si="17"/>
        <v>3.8610038610037982E-3</v>
      </c>
      <c r="AQ28" s="55">
        <v>172.1</v>
      </c>
      <c r="AR28" s="56">
        <f t="shared" si="18"/>
        <v>4.0840140023336562E-3</v>
      </c>
      <c r="AS28" s="55">
        <v>181.1</v>
      </c>
      <c r="AT28" s="56">
        <f t="shared" si="19"/>
        <v>7.2302558398219295E-3</v>
      </c>
      <c r="AU28" s="55">
        <v>163.4</v>
      </c>
      <c r="AV28" s="56">
        <f t="shared" si="20"/>
        <v>2.4539877300613845E-3</v>
      </c>
      <c r="AW28" s="55">
        <v>168.9</v>
      </c>
      <c r="AX28" s="56">
        <f t="shared" si="21"/>
        <v>2.3738872403561168E-3</v>
      </c>
      <c r="AY28" s="55">
        <v>174.1</v>
      </c>
      <c r="AZ28" s="56">
        <f t="shared" si="22"/>
        <v>2.3028209556707293E-3</v>
      </c>
      <c r="BA28" s="55">
        <v>175.8</v>
      </c>
      <c r="BB28" s="56">
        <f t="shared" si="23"/>
        <v>1.2672811059907932E-2</v>
      </c>
      <c r="BC28" s="55">
        <v>172</v>
      </c>
      <c r="BD28" s="57">
        <f t="shared" si="24"/>
        <v>5.2600818234950653E-3</v>
      </c>
    </row>
    <row r="29" spans="1:56" x14ac:dyDescent="0.3">
      <c r="A29" s="66">
        <v>2023</v>
      </c>
      <c r="B29" s="66" t="s">
        <v>31</v>
      </c>
      <c r="C29" s="67">
        <v>80.92</v>
      </c>
      <c r="D29" s="53">
        <f t="shared" si="0"/>
        <v>3.6107554417413666E-2</v>
      </c>
      <c r="G29" s="36">
        <v>2023</v>
      </c>
      <c r="H29" s="36" t="s">
        <v>31</v>
      </c>
      <c r="I29" s="55">
        <v>173.8</v>
      </c>
      <c r="J29" s="56">
        <f t="shared" si="1"/>
        <v>2.7186761229314557E-2</v>
      </c>
      <c r="K29" s="55">
        <v>210.7</v>
      </c>
      <c r="L29" s="56">
        <f t="shared" si="2"/>
        <v>8.1339712918659744E-3</v>
      </c>
      <c r="M29" s="55">
        <v>194.5</v>
      </c>
      <c r="N29" s="56">
        <f t="shared" si="3"/>
        <v>2.2607781282860208E-2</v>
      </c>
      <c r="O29" s="55">
        <v>174.6</v>
      </c>
      <c r="P29" s="56">
        <f t="shared" si="4"/>
        <v>5.7603686635944703E-3</v>
      </c>
      <c r="Q29" s="55">
        <v>187.2</v>
      </c>
      <c r="R29" s="56">
        <f t="shared" si="5"/>
        <v>-6.8965517241379917E-3</v>
      </c>
      <c r="S29" s="55">
        <v>158.30000000000001</v>
      </c>
      <c r="T29" s="56">
        <f t="shared" si="6"/>
        <v>1.8987341772152618E-3</v>
      </c>
      <c r="U29" s="55">
        <v>153.9</v>
      </c>
      <c r="V29" s="56">
        <f t="shared" si="7"/>
        <v>-3.7523452157598496E-2</v>
      </c>
      <c r="W29" s="55">
        <v>170.9</v>
      </c>
      <c r="X29" s="56">
        <f t="shared" si="8"/>
        <v>5.854800936767817E-4</v>
      </c>
      <c r="Y29" s="55">
        <v>121.1</v>
      </c>
      <c r="Z29" s="56">
        <f t="shared" si="9"/>
        <v>-5.7803468208092726E-3</v>
      </c>
      <c r="AA29" s="55">
        <v>208.4</v>
      </c>
      <c r="AB29" s="56">
        <f t="shared" si="10"/>
        <v>1.5594541910331468E-2</v>
      </c>
      <c r="AC29" s="55">
        <v>171.4</v>
      </c>
      <c r="AD29" s="56">
        <f t="shared" si="11"/>
        <v>2.339181286549741E-3</v>
      </c>
      <c r="AE29" s="55">
        <v>191.2</v>
      </c>
      <c r="AF29" s="56">
        <f t="shared" si="12"/>
        <v>4.7293746715710832E-3</v>
      </c>
      <c r="AG29" s="55">
        <v>198.2</v>
      </c>
      <c r="AH29" s="56">
        <f t="shared" si="13"/>
        <v>4.5615813482005937E-3</v>
      </c>
      <c r="AI29" s="55">
        <v>184.9</v>
      </c>
      <c r="AJ29" s="56">
        <f t="shared" si="14"/>
        <v>4.8913043478261177E-3</v>
      </c>
      <c r="AK29" s="55">
        <v>177.6</v>
      </c>
      <c r="AL29" s="56">
        <f t="shared" si="15"/>
        <v>3.3898305084745441E-3</v>
      </c>
      <c r="AM29" s="55">
        <v>172.1</v>
      </c>
      <c r="AN29" s="56">
        <f t="shared" si="16"/>
        <v>8.201523140011751E-3</v>
      </c>
      <c r="AO29" s="55">
        <v>182</v>
      </c>
      <c r="AP29" s="56">
        <f t="shared" si="17"/>
        <v>0</v>
      </c>
      <c r="AQ29" s="55">
        <v>172.9</v>
      </c>
      <c r="AR29" s="56">
        <f t="shared" si="18"/>
        <v>4.648460197559625E-3</v>
      </c>
      <c r="AS29" s="55">
        <v>182.3</v>
      </c>
      <c r="AT29" s="56">
        <f t="shared" si="19"/>
        <v>6.6261733848703317E-3</v>
      </c>
      <c r="AU29" s="55">
        <v>163.6</v>
      </c>
      <c r="AV29" s="56">
        <f t="shared" si="20"/>
        <v>1.2239902080782657E-3</v>
      </c>
      <c r="AW29" s="55">
        <v>169.5</v>
      </c>
      <c r="AX29" s="56">
        <f t="shared" si="21"/>
        <v>3.5523978685612452E-3</v>
      </c>
      <c r="AY29" s="55">
        <v>174.3</v>
      </c>
      <c r="AZ29" s="56">
        <f t="shared" si="22"/>
        <v>1.1487650775417408E-3</v>
      </c>
      <c r="BA29" s="55">
        <v>178.6</v>
      </c>
      <c r="BB29" s="56">
        <f t="shared" si="23"/>
        <v>1.5927189988623337E-2</v>
      </c>
      <c r="BC29" s="55">
        <v>172.8</v>
      </c>
      <c r="BD29" s="57">
        <f t="shared" si="24"/>
        <v>4.6511627906977403E-3</v>
      </c>
    </row>
    <row r="30" spans="1:56" x14ac:dyDescent="0.3">
      <c r="A30" s="68">
        <v>2023</v>
      </c>
      <c r="B30" s="68" t="s">
        <v>35</v>
      </c>
      <c r="C30" s="69">
        <v>82.11</v>
      </c>
      <c r="D30" s="53">
        <f t="shared" si="0"/>
        <v>1.4705882352941149E-2</v>
      </c>
      <c r="G30" s="36">
        <v>2023</v>
      </c>
      <c r="H30" s="36" t="s">
        <v>35</v>
      </c>
      <c r="I30" s="55">
        <v>174.4</v>
      </c>
      <c r="J30" s="56">
        <f t="shared" si="1"/>
        <v>3.4522439585730398E-3</v>
      </c>
      <c r="K30" s="55">
        <v>207.7</v>
      </c>
      <c r="L30" s="56">
        <f t="shared" si="2"/>
        <v>-1.423825344091125E-2</v>
      </c>
      <c r="M30" s="55">
        <v>175.2</v>
      </c>
      <c r="N30" s="56">
        <f t="shared" si="3"/>
        <v>-9.9228791773778982E-2</v>
      </c>
      <c r="O30" s="55">
        <v>177.3</v>
      </c>
      <c r="P30" s="56">
        <f t="shared" si="4"/>
        <v>1.5463917525773294E-2</v>
      </c>
      <c r="Q30" s="55">
        <v>179.3</v>
      </c>
      <c r="R30" s="56">
        <f t="shared" si="5"/>
        <v>-4.2200854700854579E-2</v>
      </c>
      <c r="S30" s="55">
        <v>169.5</v>
      </c>
      <c r="T30" s="56">
        <f t="shared" si="6"/>
        <v>7.0751737207833149E-2</v>
      </c>
      <c r="U30" s="55">
        <v>152.69999999999999</v>
      </c>
      <c r="V30" s="56">
        <f t="shared" si="7"/>
        <v>-7.7972709551658026E-3</v>
      </c>
      <c r="W30" s="55">
        <v>171</v>
      </c>
      <c r="X30" s="56">
        <f t="shared" si="8"/>
        <v>5.8513750731418557E-4</v>
      </c>
      <c r="Y30" s="55">
        <v>120</v>
      </c>
      <c r="Z30" s="56">
        <f t="shared" si="9"/>
        <v>-9.1666666666666199E-3</v>
      </c>
      <c r="AA30" s="55">
        <v>209.7</v>
      </c>
      <c r="AB30" s="56">
        <f t="shared" si="10"/>
        <v>6.2380038387715112E-3</v>
      </c>
      <c r="AC30" s="55">
        <v>172.3</v>
      </c>
      <c r="AD30" s="56">
        <f t="shared" si="11"/>
        <v>5.2508751458576761E-3</v>
      </c>
      <c r="AE30" s="55">
        <v>193</v>
      </c>
      <c r="AF30" s="56">
        <f t="shared" si="12"/>
        <v>9.4142259414226534E-3</v>
      </c>
      <c r="AG30" s="55">
        <v>199.5</v>
      </c>
      <c r="AH30" s="56">
        <f t="shared" si="13"/>
        <v>6.5590312815338621E-3</v>
      </c>
      <c r="AI30" s="55">
        <v>186.2</v>
      </c>
      <c r="AJ30" s="56">
        <f t="shared" si="14"/>
        <v>7.0308274743103453E-3</v>
      </c>
      <c r="AK30" s="55">
        <v>178.7</v>
      </c>
      <c r="AL30" s="56">
        <f t="shared" si="15"/>
        <v>6.1936936936936617E-3</v>
      </c>
      <c r="AM30" s="55">
        <v>173.5</v>
      </c>
      <c r="AN30" s="56">
        <f t="shared" si="16"/>
        <v>8.1348053457292614E-3</v>
      </c>
      <c r="AO30" s="55">
        <v>182.1</v>
      </c>
      <c r="AP30" s="56">
        <f t="shared" si="17"/>
        <v>5.4945054945051823E-4</v>
      </c>
      <c r="AQ30" s="55">
        <v>174.2</v>
      </c>
      <c r="AR30" s="56">
        <f t="shared" si="18"/>
        <v>7.5187969924811037E-3</v>
      </c>
      <c r="AS30" s="55">
        <v>184.4</v>
      </c>
      <c r="AT30" s="56">
        <f t="shared" si="19"/>
        <v>1.1519473395501889E-2</v>
      </c>
      <c r="AU30" s="55">
        <v>164.2</v>
      </c>
      <c r="AV30" s="56">
        <f t="shared" si="20"/>
        <v>3.6674816625916523E-3</v>
      </c>
      <c r="AW30" s="55">
        <v>170.3</v>
      </c>
      <c r="AX30" s="56">
        <f t="shared" si="21"/>
        <v>4.7197640117994768E-3</v>
      </c>
      <c r="AY30" s="55">
        <v>175</v>
      </c>
      <c r="AZ30" s="56">
        <f t="shared" si="22"/>
        <v>4.016064257028047E-3</v>
      </c>
      <c r="BA30" s="55">
        <v>181</v>
      </c>
      <c r="BB30" s="56">
        <f t="shared" si="23"/>
        <v>1.3437849944008991E-2</v>
      </c>
      <c r="BC30" s="55">
        <v>174.1</v>
      </c>
      <c r="BD30" s="57">
        <f t="shared" si="24"/>
        <v>7.5231481481480489E-3</v>
      </c>
    </row>
    <row r="31" spans="1:56" x14ac:dyDescent="0.3">
      <c r="A31" s="66">
        <v>2023</v>
      </c>
      <c r="B31" s="66" t="s">
        <v>36</v>
      </c>
      <c r="C31" s="67">
        <v>78.540000000000006</v>
      </c>
      <c r="D31" s="53">
        <f t="shared" si="0"/>
        <v>-4.3478260869565133E-2</v>
      </c>
      <c r="G31" s="36">
        <v>2023</v>
      </c>
      <c r="H31" s="36" t="s">
        <v>36</v>
      </c>
      <c r="I31" s="55">
        <v>174.4</v>
      </c>
      <c r="J31" s="56">
        <f t="shared" si="1"/>
        <v>0</v>
      </c>
      <c r="K31" s="55">
        <v>207.7</v>
      </c>
      <c r="L31" s="56">
        <f t="shared" si="2"/>
        <v>0</v>
      </c>
      <c r="M31" s="55">
        <v>175.2</v>
      </c>
      <c r="N31" s="56">
        <f t="shared" si="3"/>
        <v>0</v>
      </c>
      <c r="O31" s="55">
        <v>177.3</v>
      </c>
      <c r="P31" s="56">
        <f t="shared" si="4"/>
        <v>0</v>
      </c>
      <c r="Q31" s="55">
        <v>179.2</v>
      </c>
      <c r="R31" s="56">
        <f t="shared" si="5"/>
        <v>-5.5772448410497898E-4</v>
      </c>
      <c r="S31" s="55">
        <v>169.5</v>
      </c>
      <c r="T31" s="56">
        <f t="shared" si="6"/>
        <v>0</v>
      </c>
      <c r="U31" s="55">
        <v>152.80000000000001</v>
      </c>
      <c r="V31" s="56">
        <f t="shared" si="7"/>
        <v>6.5487884741337755E-4</v>
      </c>
      <c r="W31" s="55">
        <v>171.1</v>
      </c>
      <c r="X31" s="56">
        <f t="shared" si="8"/>
        <v>5.8479532163739363E-4</v>
      </c>
      <c r="Y31" s="55">
        <v>120</v>
      </c>
      <c r="Z31" s="56">
        <f t="shared" si="9"/>
        <v>0</v>
      </c>
      <c r="AA31" s="55">
        <v>209.7</v>
      </c>
      <c r="AB31" s="56">
        <f t="shared" si="10"/>
        <v>0</v>
      </c>
      <c r="AC31" s="55">
        <v>172.3</v>
      </c>
      <c r="AD31" s="56">
        <f t="shared" si="11"/>
        <v>0</v>
      </c>
      <c r="AE31" s="55">
        <v>193</v>
      </c>
      <c r="AF31" s="56">
        <f t="shared" si="12"/>
        <v>0</v>
      </c>
      <c r="AG31" s="55">
        <v>199.5</v>
      </c>
      <c r="AH31" s="56">
        <f t="shared" si="13"/>
        <v>0</v>
      </c>
      <c r="AI31" s="55">
        <v>186.1</v>
      </c>
      <c r="AJ31" s="56">
        <f t="shared" si="14"/>
        <v>-5.3705692803434116E-4</v>
      </c>
      <c r="AK31" s="55">
        <v>178.7</v>
      </c>
      <c r="AL31" s="56">
        <f t="shared" si="15"/>
        <v>0</v>
      </c>
      <c r="AM31" s="55">
        <v>173.5</v>
      </c>
      <c r="AN31" s="56">
        <f t="shared" si="16"/>
        <v>0</v>
      </c>
      <c r="AO31" s="55">
        <v>181.9</v>
      </c>
      <c r="AP31" s="56">
        <f t="shared" si="17"/>
        <v>-1.0982976386600144E-3</v>
      </c>
      <c r="AQ31" s="55">
        <v>174.2</v>
      </c>
      <c r="AR31" s="56">
        <f t="shared" si="18"/>
        <v>0</v>
      </c>
      <c r="AS31" s="55">
        <v>184.4</v>
      </c>
      <c r="AT31" s="56">
        <f t="shared" si="19"/>
        <v>0</v>
      </c>
      <c r="AU31" s="55">
        <v>164.2</v>
      </c>
      <c r="AV31" s="56">
        <f t="shared" si="20"/>
        <v>0</v>
      </c>
      <c r="AW31" s="55">
        <v>170.3</v>
      </c>
      <c r="AX31" s="56">
        <f t="shared" si="21"/>
        <v>0</v>
      </c>
      <c r="AY31" s="55">
        <v>175</v>
      </c>
      <c r="AZ31" s="56">
        <f t="shared" si="22"/>
        <v>0</v>
      </c>
      <c r="BA31" s="55">
        <v>181</v>
      </c>
      <c r="BB31" s="56">
        <f t="shared" si="23"/>
        <v>0</v>
      </c>
      <c r="BC31" s="55">
        <v>174.1</v>
      </c>
      <c r="BD31" s="57">
        <f t="shared" si="24"/>
        <v>0</v>
      </c>
    </row>
    <row r="32" spans="1:56" x14ac:dyDescent="0.3">
      <c r="A32" s="68">
        <v>2023</v>
      </c>
      <c r="B32" s="68" t="s">
        <v>37</v>
      </c>
      <c r="C32" s="69">
        <v>83.76</v>
      </c>
      <c r="D32" s="53">
        <f t="shared" si="0"/>
        <v>6.6462948815889974E-2</v>
      </c>
      <c r="G32" s="36">
        <v>2023</v>
      </c>
      <c r="H32" s="36" t="s">
        <v>37</v>
      </c>
      <c r="I32" s="55">
        <v>173.8</v>
      </c>
      <c r="J32" s="56">
        <f t="shared" si="1"/>
        <v>-3.4403669724770315E-3</v>
      </c>
      <c r="K32" s="55">
        <v>209.3</v>
      </c>
      <c r="L32" s="56">
        <f t="shared" si="2"/>
        <v>7.7034183919115207E-3</v>
      </c>
      <c r="M32" s="55">
        <v>169.6</v>
      </c>
      <c r="N32" s="56">
        <f t="shared" si="3"/>
        <v>-3.1963470319634674E-2</v>
      </c>
      <c r="O32" s="55">
        <v>178.4</v>
      </c>
      <c r="P32" s="56">
        <f t="shared" si="4"/>
        <v>6.2041737168640398E-3</v>
      </c>
      <c r="Q32" s="55">
        <v>174.9</v>
      </c>
      <c r="R32" s="56">
        <f t="shared" si="5"/>
        <v>-2.3995535714285622E-2</v>
      </c>
      <c r="S32" s="55">
        <v>176.3</v>
      </c>
      <c r="T32" s="56">
        <f t="shared" si="6"/>
        <v>4.0117994100295054E-2</v>
      </c>
      <c r="U32" s="55">
        <v>155.4</v>
      </c>
      <c r="V32" s="56">
        <f t="shared" si="7"/>
        <v>1.7015706806282685E-2</v>
      </c>
      <c r="W32" s="55">
        <v>173.4</v>
      </c>
      <c r="X32" s="56">
        <f t="shared" si="8"/>
        <v>1.3442431326709593E-2</v>
      </c>
      <c r="Y32" s="55">
        <v>121.3</v>
      </c>
      <c r="Z32" s="56">
        <f t="shared" si="9"/>
        <v>1.0717230008244E-2</v>
      </c>
      <c r="AA32" s="55">
        <v>212.9</v>
      </c>
      <c r="AB32" s="56">
        <f t="shared" si="10"/>
        <v>1.5259895088221351E-2</v>
      </c>
      <c r="AC32" s="55">
        <v>172.9</v>
      </c>
      <c r="AD32" s="56">
        <f t="shared" si="11"/>
        <v>3.4822983168891135E-3</v>
      </c>
      <c r="AE32" s="55">
        <v>193.5</v>
      </c>
      <c r="AF32" s="56">
        <f t="shared" si="12"/>
        <v>2.5906735751295338E-3</v>
      </c>
      <c r="AG32" s="55">
        <v>200.6</v>
      </c>
      <c r="AH32" s="56">
        <f t="shared" si="13"/>
        <v>5.5137844611528536E-3</v>
      </c>
      <c r="AI32" s="55">
        <v>186.9</v>
      </c>
      <c r="AJ32" s="56">
        <f t="shared" si="14"/>
        <v>4.2987641053197816E-3</v>
      </c>
      <c r="AK32" s="55">
        <v>179.2</v>
      </c>
      <c r="AL32" s="56">
        <f t="shared" si="15"/>
        <v>2.7979854504756579E-3</v>
      </c>
      <c r="AM32" s="55">
        <v>175.2</v>
      </c>
      <c r="AN32" s="56">
        <f t="shared" si="16"/>
        <v>9.7982708933716921E-3</v>
      </c>
      <c r="AO32" s="55">
        <v>181.7</v>
      </c>
      <c r="AP32" s="56">
        <f t="shared" si="17"/>
        <v>-1.0995052226499013E-3</v>
      </c>
      <c r="AQ32" s="55">
        <v>174.6</v>
      </c>
      <c r="AR32" s="56">
        <f t="shared" si="18"/>
        <v>2.2962112514351646E-3</v>
      </c>
      <c r="AS32" s="55">
        <v>185</v>
      </c>
      <c r="AT32" s="56">
        <f t="shared" si="19"/>
        <v>3.2537960954446546E-3</v>
      </c>
      <c r="AU32" s="55">
        <v>164.5</v>
      </c>
      <c r="AV32" s="56">
        <f t="shared" si="20"/>
        <v>1.8270401948843567E-3</v>
      </c>
      <c r="AW32" s="55">
        <v>170.7</v>
      </c>
      <c r="AX32" s="56">
        <f t="shared" si="21"/>
        <v>2.3487962419258793E-3</v>
      </c>
      <c r="AY32" s="55">
        <v>176.4</v>
      </c>
      <c r="AZ32" s="56">
        <f t="shared" si="22"/>
        <v>8.0000000000000331E-3</v>
      </c>
      <c r="BA32" s="55">
        <v>184</v>
      </c>
      <c r="BB32" s="56">
        <f t="shared" si="23"/>
        <v>1.6574585635359115E-2</v>
      </c>
      <c r="BC32" s="55">
        <v>175</v>
      </c>
      <c r="BD32" s="57">
        <f t="shared" si="24"/>
        <v>5.1694428489374254E-3</v>
      </c>
    </row>
    <row r="33" spans="1:56" x14ac:dyDescent="0.3">
      <c r="A33" s="66">
        <v>2023</v>
      </c>
      <c r="B33" s="66" t="s">
        <v>38</v>
      </c>
      <c r="C33" s="67">
        <v>74.98</v>
      </c>
      <c r="D33" s="53">
        <f t="shared" si="0"/>
        <v>-0.10482330468003821</v>
      </c>
      <c r="G33" s="36">
        <v>2023</v>
      </c>
      <c r="H33" s="36" t="s">
        <v>38</v>
      </c>
      <c r="I33" s="55">
        <v>173.7</v>
      </c>
      <c r="J33" s="56">
        <f t="shared" si="1"/>
        <v>-5.7537399309564284E-4</v>
      </c>
      <c r="K33" s="55">
        <v>214.3</v>
      </c>
      <c r="L33" s="56">
        <f t="shared" si="2"/>
        <v>2.3889154323936932E-2</v>
      </c>
      <c r="M33" s="55">
        <v>173.2</v>
      </c>
      <c r="N33" s="56">
        <f t="shared" si="3"/>
        <v>2.122641509433959E-2</v>
      </c>
      <c r="O33" s="55">
        <v>179.5</v>
      </c>
      <c r="P33" s="56">
        <f t="shared" si="4"/>
        <v>6.1659192825111791E-3</v>
      </c>
      <c r="Q33" s="55">
        <v>170</v>
      </c>
      <c r="R33" s="56">
        <f t="shared" si="5"/>
        <v>-2.801600914808465E-2</v>
      </c>
      <c r="S33" s="55">
        <v>172.2</v>
      </c>
      <c r="T33" s="56">
        <f t="shared" si="6"/>
        <v>-2.32558139534885E-2</v>
      </c>
      <c r="U33" s="55">
        <v>161</v>
      </c>
      <c r="V33" s="56">
        <f t="shared" si="7"/>
        <v>3.6036036036036001E-2</v>
      </c>
      <c r="W33" s="55">
        <v>175.6</v>
      </c>
      <c r="X33" s="56">
        <f t="shared" si="8"/>
        <v>1.2687427912341341E-2</v>
      </c>
      <c r="Y33" s="55">
        <v>122.7</v>
      </c>
      <c r="Z33" s="56">
        <f t="shared" si="9"/>
        <v>1.1409942950285294E-2</v>
      </c>
      <c r="AA33" s="55">
        <v>218</v>
      </c>
      <c r="AB33" s="56">
        <f t="shared" si="10"/>
        <v>2.3954908407703118E-2</v>
      </c>
      <c r="AC33" s="55">
        <v>173.4</v>
      </c>
      <c r="AD33" s="56">
        <f t="shared" si="11"/>
        <v>2.8918449971081549E-3</v>
      </c>
      <c r="AE33" s="55">
        <v>194.2</v>
      </c>
      <c r="AF33" s="56">
        <f t="shared" si="12"/>
        <v>3.6175710594314658E-3</v>
      </c>
      <c r="AG33" s="55">
        <v>201</v>
      </c>
      <c r="AH33" s="56">
        <f t="shared" si="13"/>
        <v>1.9940179461615439E-3</v>
      </c>
      <c r="AI33" s="55">
        <v>187.3</v>
      </c>
      <c r="AJ33" s="56">
        <f t="shared" si="14"/>
        <v>2.1401819154628445E-3</v>
      </c>
      <c r="AK33" s="55">
        <v>179.7</v>
      </c>
      <c r="AL33" s="56">
        <f t="shared" si="15"/>
        <v>2.7901785714285715E-3</v>
      </c>
      <c r="AM33" s="55">
        <v>175.6</v>
      </c>
      <c r="AN33" s="56">
        <f t="shared" si="16"/>
        <v>2.2831050228310826E-3</v>
      </c>
      <c r="AO33" s="55">
        <v>182.8</v>
      </c>
      <c r="AP33" s="56">
        <f t="shared" si="17"/>
        <v>6.0539350577876877E-3</v>
      </c>
      <c r="AQ33" s="55">
        <v>175.2</v>
      </c>
      <c r="AR33" s="56">
        <f t="shared" si="18"/>
        <v>3.4364261168384554E-3</v>
      </c>
      <c r="AS33" s="55">
        <v>185.7</v>
      </c>
      <c r="AT33" s="56">
        <f t="shared" si="19"/>
        <v>3.7837837837837222E-3</v>
      </c>
      <c r="AU33" s="55">
        <v>164.8</v>
      </c>
      <c r="AV33" s="56">
        <f t="shared" si="20"/>
        <v>1.8237082066869992E-3</v>
      </c>
      <c r="AW33" s="55">
        <v>171.2</v>
      </c>
      <c r="AX33" s="56">
        <f t="shared" si="21"/>
        <v>2.9291154071470417E-3</v>
      </c>
      <c r="AY33" s="55">
        <v>177.1</v>
      </c>
      <c r="AZ33" s="56">
        <f t="shared" si="22"/>
        <v>3.9682539682539038E-3</v>
      </c>
      <c r="BA33" s="55">
        <v>185.2</v>
      </c>
      <c r="BB33" s="56">
        <f t="shared" si="23"/>
        <v>6.5217391304347207E-3</v>
      </c>
      <c r="BC33" s="55">
        <v>175.7</v>
      </c>
      <c r="BD33" s="57">
        <f t="shared" si="24"/>
        <v>3.999999999999935E-3</v>
      </c>
    </row>
    <row r="34" spans="1:56" x14ac:dyDescent="0.3">
      <c r="G34" s="51"/>
      <c r="H34" s="51"/>
      <c r="I34" s="51"/>
      <c r="J34" s="56">
        <f>CORREL($D$6:$D$33,J6:J33)</f>
        <v>-0.22121197291136538</v>
      </c>
      <c r="K34" s="56"/>
      <c r="L34" s="56">
        <f t="shared" ref="L34:BD34" si="25">CORREL($D$6:$D$33,L6:L33)</f>
        <v>0.38920514188490796</v>
      </c>
      <c r="M34" s="56"/>
      <c r="N34" s="56">
        <f t="shared" si="25"/>
        <v>-0.22572464844674858</v>
      </c>
      <c r="O34" s="56"/>
      <c r="P34" s="56">
        <f t="shared" si="25"/>
        <v>-0.24658565443641564</v>
      </c>
      <c r="Q34" s="56"/>
      <c r="R34" s="56">
        <f t="shared" si="25"/>
        <v>0.38881525435063208</v>
      </c>
      <c r="S34" s="56"/>
      <c r="T34" s="56">
        <f t="shared" si="25"/>
        <v>5.8590785817357237E-2</v>
      </c>
      <c r="U34" s="56"/>
      <c r="V34" s="56">
        <f t="shared" si="25"/>
        <v>4.3946002763537571E-2</v>
      </c>
      <c r="W34" s="56"/>
      <c r="X34" s="56">
        <f t="shared" si="25"/>
        <v>-0.19857531616666022</v>
      </c>
      <c r="Y34" s="56"/>
      <c r="Z34" s="56">
        <f t="shared" si="25"/>
        <v>-0.18269087395175135</v>
      </c>
      <c r="AA34" s="56"/>
      <c r="AB34" s="56">
        <f t="shared" si="25"/>
        <v>-0.16535317569659999</v>
      </c>
      <c r="AC34" s="56"/>
      <c r="AD34" s="56">
        <f t="shared" si="25"/>
        <v>0.16747977685062718</v>
      </c>
      <c r="AE34" s="56"/>
      <c r="AF34" s="56">
        <f t="shared" si="25"/>
        <v>0.10848488362829148</v>
      </c>
      <c r="AG34" s="56"/>
      <c r="AH34" s="56">
        <f t="shared" si="25"/>
        <v>0.15737929218325802</v>
      </c>
      <c r="AI34" s="56"/>
      <c r="AJ34" s="56">
        <f t="shared" si="25"/>
        <v>0.11791022826170577</v>
      </c>
      <c r="AK34" s="56"/>
      <c r="AL34" s="56">
        <f t="shared" si="25"/>
        <v>0.1823220265695</v>
      </c>
      <c r="AM34" s="56"/>
      <c r="AN34" s="56">
        <f t="shared" si="25"/>
        <v>0.15362361622294909</v>
      </c>
      <c r="AO34" s="56"/>
      <c r="AP34" s="56">
        <f t="shared" si="25"/>
        <v>0.11322534700081063</v>
      </c>
      <c r="AQ34" s="56"/>
      <c r="AR34" s="56">
        <f t="shared" si="25"/>
        <v>1.5694055531396314E-2</v>
      </c>
      <c r="AS34" s="56"/>
      <c r="AT34" s="56">
        <f t="shared" si="25"/>
        <v>7.787986356198083E-2</v>
      </c>
      <c r="AU34" s="56"/>
      <c r="AV34" s="56">
        <f t="shared" si="25"/>
        <v>0.10187635404738357</v>
      </c>
      <c r="AW34" s="56"/>
      <c r="AX34" s="56">
        <f t="shared" si="25"/>
        <v>0.12748848338991151</v>
      </c>
      <c r="AY34" s="56"/>
      <c r="AZ34" s="56">
        <f t="shared" si="25"/>
        <v>-0.11940995399340928</v>
      </c>
      <c r="BA34" s="56"/>
      <c r="BB34" s="56">
        <f t="shared" si="25"/>
        <v>1.8184133801475384E-2</v>
      </c>
      <c r="BC34" s="56"/>
      <c r="BD34" s="56">
        <f t="shared" si="25"/>
        <v>8.5051467222242286E-2</v>
      </c>
    </row>
    <row r="36" spans="1:56" x14ac:dyDescent="0.3">
      <c r="A36" t="s">
        <v>111</v>
      </c>
    </row>
    <row r="40" spans="1:56" x14ac:dyDescent="0.3">
      <c r="A40" s="70" t="s">
        <v>108</v>
      </c>
      <c r="B40" s="70" t="s">
        <v>109</v>
      </c>
    </row>
    <row r="41" spans="1:56" x14ac:dyDescent="0.3">
      <c r="A41" s="71" t="s">
        <v>3</v>
      </c>
      <c r="B41" s="72">
        <v>-0.22121197291136538</v>
      </c>
    </row>
    <row r="42" spans="1:56" x14ac:dyDescent="0.3">
      <c r="A42" s="73" t="s">
        <v>4</v>
      </c>
      <c r="B42" s="74">
        <v>0.38920514188490796</v>
      </c>
    </row>
    <row r="43" spans="1:56" x14ac:dyDescent="0.3">
      <c r="A43" s="71" t="s">
        <v>5</v>
      </c>
      <c r="B43" s="72">
        <v>-0.22572464844674858</v>
      </c>
    </row>
    <row r="44" spans="1:56" x14ac:dyDescent="0.3">
      <c r="A44" s="75" t="s">
        <v>6</v>
      </c>
      <c r="B44" s="76">
        <v>-0.24658565443641564</v>
      </c>
    </row>
    <row r="45" spans="1:56" x14ac:dyDescent="0.3">
      <c r="A45" s="73" t="s">
        <v>7</v>
      </c>
      <c r="B45" s="74">
        <v>0.38881525435063208</v>
      </c>
    </row>
    <row r="46" spans="1:56" x14ac:dyDescent="0.3">
      <c r="A46" s="71" t="s">
        <v>8</v>
      </c>
      <c r="B46" s="72">
        <v>5.8590785817357237E-2</v>
      </c>
    </row>
    <row r="47" spans="1:56" x14ac:dyDescent="0.3">
      <c r="A47" s="71" t="s">
        <v>9</v>
      </c>
      <c r="B47" s="72">
        <v>4.3946002763537571E-2</v>
      </c>
    </row>
    <row r="48" spans="1:56" x14ac:dyDescent="0.3">
      <c r="A48" s="71" t="s">
        <v>10</v>
      </c>
      <c r="B48" s="72">
        <v>-0.19857531616666022</v>
      </c>
    </row>
    <row r="49" spans="1:2" x14ac:dyDescent="0.3">
      <c r="A49" s="71" t="s">
        <v>11</v>
      </c>
      <c r="B49" s="72">
        <v>-0.18269087395175135</v>
      </c>
    </row>
    <row r="50" spans="1:2" x14ac:dyDescent="0.3">
      <c r="A50" s="71" t="s">
        <v>12</v>
      </c>
      <c r="B50" s="72">
        <v>-0.16535317569659999</v>
      </c>
    </row>
    <row r="51" spans="1:2" x14ac:dyDescent="0.3">
      <c r="A51" s="71" t="s">
        <v>13</v>
      </c>
      <c r="B51" s="72">
        <v>0.16747977685062718</v>
      </c>
    </row>
    <row r="52" spans="1:2" x14ac:dyDescent="0.3">
      <c r="A52" s="71" t="s">
        <v>14</v>
      </c>
      <c r="B52" s="72">
        <v>0.10848488362829148</v>
      </c>
    </row>
    <row r="53" spans="1:2" x14ac:dyDescent="0.3">
      <c r="A53" s="71" t="s">
        <v>16</v>
      </c>
      <c r="B53" s="72">
        <v>0.15737929218325802</v>
      </c>
    </row>
    <row r="54" spans="1:2" x14ac:dyDescent="0.3">
      <c r="A54" s="71" t="s">
        <v>17</v>
      </c>
      <c r="B54" s="72">
        <v>0.11791022826170577</v>
      </c>
    </row>
    <row r="55" spans="1:2" x14ac:dyDescent="0.3">
      <c r="A55" s="71" t="s">
        <v>18</v>
      </c>
      <c r="B55" s="72">
        <v>0.1823220265695</v>
      </c>
    </row>
    <row r="56" spans="1:2" x14ac:dyDescent="0.3">
      <c r="A56" s="71" t="s">
        <v>20</v>
      </c>
      <c r="B56" s="72">
        <v>0.15362361622294909</v>
      </c>
    </row>
    <row r="57" spans="1:2" x14ac:dyDescent="0.3">
      <c r="A57" s="71" t="s">
        <v>21</v>
      </c>
      <c r="B57" s="72">
        <v>0.11322534700081063</v>
      </c>
    </row>
    <row r="58" spans="1:2" x14ac:dyDescent="0.3">
      <c r="A58" s="71" t="s">
        <v>22</v>
      </c>
      <c r="B58" s="72">
        <v>1.5694055531396314E-2</v>
      </c>
    </row>
    <row r="59" spans="1:2" x14ac:dyDescent="0.3">
      <c r="A59" s="71" t="s">
        <v>23</v>
      </c>
      <c r="B59" s="72">
        <v>7.787986356198083E-2</v>
      </c>
    </row>
    <row r="60" spans="1:2" x14ac:dyDescent="0.3">
      <c r="A60" s="71" t="s">
        <v>24</v>
      </c>
      <c r="B60" s="72">
        <v>0.10187635404738357</v>
      </c>
    </row>
    <row r="61" spans="1:2" x14ac:dyDescent="0.3">
      <c r="A61" s="71" t="s">
        <v>25</v>
      </c>
      <c r="B61" s="72">
        <v>0.12748848338991151</v>
      </c>
    </row>
    <row r="62" spans="1:2" x14ac:dyDescent="0.3">
      <c r="A62" s="71" t="s">
        <v>26</v>
      </c>
      <c r="B62" s="72">
        <v>-0.11940995399340928</v>
      </c>
    </row>
    <row r="63" spans="1:2" x14ac:dyDescent="0.3">
      <c r="A63" s="71" t="s">
        <v>27</v>
      </c>
      <c r="B63" s="72">
        <v>1.8184133801475384E-2</v>
      </c>
    </row>
    <row r="64" spans="1:2" x14ac:dyDescent="0.3">
      <c r="A64" s="71" t="s">
        <v>28</v>
      </c>
      <c r="B64" s="72">
        <v>8.5051467222242286E-2</v>
      </c>
    </row>
    <row r="66" spans="1:1" x14ac:dyDescent="0.3">
      <c r="A66" s="77" t="s">
        <v>112</v>
      </c>
    </row>
  </sheetData>
  <mergeCells count="1">
    <mergeCell ref="A1:T2"/>
  </mergeCells>
  <conditionalFormatting sqref="B41:B6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3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3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N3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:P3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:R3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:T3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:V3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:X3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:Z3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:AB3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:AD3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:AF3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:AH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:AJ3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6:AL3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6:AN3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6:AP3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6:AR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6:AR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6:AT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:AV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6:AX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6:AZ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6:BB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6:B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3BA4-CD29-4D3A-9017-D3494BBADE52}">
  <sheetPr>
    <tabColor rgb="FF92D050"/>
  </sheetPr>
  <dimension ref="A1:A29"/>
  <sheetViews>
    <sheetView workbookViewId="0">
      <selection activeCell="K17" sqref="K17"/>
    </sheetView>
  </sheetViews>
  <sheetFormatPr defaultRowHeight="14.4" x14ac:dyDescent="0.3"/>
  <sheetData>
    <row r="1" spans="1:1" s="79" customFormat="1" ht="34.200000000000003" customHeight="1" x14ac:dyDescent="0.3">
      <c r="A1" s="79" t="s">
        <v>113</v>
      </c>
    </row>
    <row r="2" spans="1:1" s="29" customFormat="1" x14ac:dyDescent="0.3"/>
    <row r="3" spans="1:1" s="80" customFormat="1" x14ac:dyDescent="0.3">
      <c r="A3" s="80" t="s">
        <v>114</v>
      </c>
    </row>
    <row r="4" spans="1:1" x14ac:dyDescent="0.3">
      <c r="A4" t="s">
        <v>115</v>
      </c>
    </row>
    <row r="5" spans="1:1" x14ac:dyDescent="0.3">
      <c r="A5" t="s">
        <v>116</v>
      </c>
    </row>
    <row r="7" spans="1:1" s="78" customFormat="1" x14ac:dyDescent="0.3">
      <c r="A7" s="78" t="s">
        <v>117</v>
      </c>
    </row>
    <row r="8" spans="1:1" x14ac:dyDescent="0.3">
      <c r="A8" t="s">
        <v>118</v>
      </c>
    </row>
    <row r="9" spans="1:1" x14ac:dyDescent="0.3">
      <c r="A9" t="s">
        <v>119</v>
      </c>
    </row>
    <row r="10" spans="1:1" x14ac:dyDescent="0.3">
      <c r="A10" t="s">
        <v>120</v>
      </c>
    </row>
    <row r="12" spans="1:1" s="78" customFormat="1" x14ac:dyDescent="0.3">
      <c r="A12" s="78" t="s">
        <v>121</v>
      </c>
    </row>
    <row r="13" spans="1:1" x14ac:dyDescent="0.3">
      <c r="A13" t="s">
        <v>122</v>
      </c>
    </row>
    <row r="14" spans="1:1" x14ac:dyDescent="0.3">
      <c r="A14" t="s">
        <v>123</v>
      </c>
    </row>
    <row r="15" spans="1:1" x14ac:dyDescent="0.3">
      <c r="A15" t="s">
        <v>124</v>
      </c>
    </row>
    <row r="16" spans="1:1" x14ac:dyDescent="0.3">
      <c r="A16" t="s">
        <v>125</v>
      </c>
    </row>
    <row r="17" spans="1:1" x14ac:dyDescent="0.3">
      <c r="A17" t="s">
        <v>126</v>
      </c>
    </row>
    <row r="18" spans="1:1" x14ac:dyDescent="0.3">
      <c r="A18" t="s">
        <v>127</v>
      </c>
    </row>
    <row r="19" spans="1:1" x14ac:dyDescent="0.3">
      <c r="A19" t="s">
        <v>128</v>
      </c>
    </row>
    <row r="20" spans="1:1" x14ac:dyDescent="0.3">
      <c r="A20" t="s">
        <v>129</v>
      </c>
    </row>
    <row r="21" spans="1:1" x14ac:dyDescent="0.3">
      <c r="A21" t="s">
        <v>130</v>
      </c>
    </row>
    <row r="22" spans="1:1" x14ac:dyDescent="0.3">
      <c r="A22" t="s">
        <v>131</v>
      </c>
    </row>
    <row r="24" spans="1:1" s="78" customFormat="1" x14ac:dyDescent="0.3">
      <c r="A24" s="78" t="s">
        <v>132</v>
      </c>
    </row>
    <row r="25" spans="1:1" x14ac:dyDescent="0.3">
      <c r="A25" t="s">
        <v>133</v>
      </c>
    </row>
    <row r="26" spans="1:1" x14ac:dyDescent="0.3">
      <c r="A26" t="s">
        <v>134</v>
      </c>
    </row>
    <row r="27" spans="1:1" x14ac:dyDescent="0.3">
      <c r="A27" t="s">
        <v>135</v>
      </c>
    </row>
    <row r="28" spans="1:1" x14ac:dyDescent="0.3">
      <c r="A28" t="s">
        <v>136</v>
      </c>
    </row>
    <row r="29" spans="1:1" x14ac:dyDescent="0.3">
      <c r="A29" t="s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DATA </vt:lpstr>
      <vt:lpstr>EXP</vt:lpstr>
      <vt:lpstr>Q1</vt:lpstr>
      <vt:lpstr>Q2 I</vt:lpstr>
      <vt:lpstr>Q2 II</vt:lpstr>
      <vt:lpstr>Q3 I</vt:lpstr>
      <vt:lpstr>Q3 II</vt:lpstr>
      <vt:lpstr>Q4</vt:lpstr>
      <vt:lpstr>Q5 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cp:lastPrinted>2026-09-27T20:04:30Z</cp:lastPrinted>
  <dcterms:created xsi:type="dcterms:W3CDTF">2026-09-24T17:33:24Z</dcterms:created>
  <dcterms:modified xsi:type="dcterms:W3CDTF">2026-10-16T19:32:51Z</dcterms:modified>
</cp:coreProperties>
</file>